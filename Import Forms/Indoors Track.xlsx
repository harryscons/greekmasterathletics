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filterPrivacy="1" defaultThemeVersion="124226"/>
  <xr:revisionPtr revIDLastSave="0" documentId="13_ncr:1_{FD4B7F3A-668B-744D-AE55-C0F2B68691C1}" xr6:coauthVersionLast="47" xr6:coauthVersionMax="47" xr10:uidLastSave="{00000000-0000-0000-0000-000000000000}"/>
  <bookViews>
    <workbookView xWindow="12460" yWindow="3340" windowWidth="34260" windowHeight="21000" xr2:uid="{00000000-000D-0000-FFFF-FFFF00000000}"/>
  </bookViews>
  <sheets>
    <sheet name="National Records" sheetId="1" r:id="rId1"/>
    <sheet name="Καταρίψεις" sheetId="5" r:id="rId2"/>
    <sheet name="Settings" sheetId="4" r:id="rId3"/>
  </sheets>
  <definedNames>
    <definedName name="_xlnm._FilterDatabase" localSheetId="0" hidden="1">'National Records'!$B$1:$M$166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6" i="1" l="1"/>
  <c r="H166" i="1" s="1"/>
  <c r="G165" i="1"/>
  <c r="H165" i="1" s="1"/>
  <c r="G164" i="1"/>
  <c r="H164" i="1" s="1"/>
  <c r="G163" i="1"/>
  <c r="H163" i="1" s="1"/>
  <c r="G162" i="1"/>
  <c r="H162" i="1" s="1"/>
  <c r="G161" i="1"/>
  <c r="H161" i="1" s="1"/>
  <c r="G160" i="1"/>
  <c r="H160" i="1" s="1"/>
  <c r="G159" i="1"/>
  <c r="H159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89" i="1"/>
  <c r="H89" i="1" s="1"/>
  <c r="G88" i="1"/>
  <c r="H88" i="1" s="1"/>
  <c r="G87" i="1"/>
  <c r="H87" i="1" s="1"/>
  <c r="G86" i="1"/>
  <c r="H86" i="1"/>
  <c r="G85" i="1"/>
  <c r="H85" i="1" s="1"/>
  <c r="G84" i="1"/>
  <c r="H84" i="1" s="1"/>
  <c r="G83" i="1"/>
  <c r="H83" i="1" s="1"/>
  <c r="G82" i="1"/>
  <c r="H82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58" i="1"/>
  <c r="H158" i="1" s="1"/>
  <c r="G157" i="1"/>
  <c r="H157" i="1" s="1"/>
  <c r="G156" i="1"/>
  <c r="H156" i="1" s="1"/>
  <c r="G155" i="1"/>
  <c r="H155" i="1" s="1"/>
  <c r="G154" i="1"/>
  <c r="H154" i="1" s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  <c r="D5" i="5"/>
  <c r="D4" i="5"/>
  <c r="D3" i="5"/>
  <c r="D2" i="5"/>
</calcChain>
</file>

<file path=xl/sharedStrings.xml><?xml version="1.0" encoding="utf-8"?>
<sst xmlns="http://schemas.openxmlformats.org/spreadsheetml/2006/main" count="1543" uniqueCount="534">
  <si>
    <t>Επίδοση</t>
  </si>
  <si>
    <t xml:space="preserve">Ονοματεπώνυμο </t>
  </si>
  <si>
    <t>Ημ. Γέννησης</t>
  </si>
  <si>
    <t xml:space="preserve">Ημερομηνία </t>
  </si>
  <si>
    <t>Αλέξανδρος Τερζιάν</t>
  </si>
  <si>
    <t>Αθήνα</t>
  </si>
  <si>
    <t>Μάριος Χριστοφορίδης</t>
  </si>
  <si>
    <t>16.06.1968</t>
  </si>
  <si>
    <t xml:space="preserve">Διοργάνωση </t>
  </si>
  <si>
    <t>Τόπος</t>
  </si>
  <si>
    <t>Παγκόσμιο Πρωτάθλημα</t>
  </si>
  <si>
    <t>Τόρουν, Πολωνία</t>
  </si>
  <si>
    <t>Μ55</t>
  </si>
  <si>
    <t>Βλαδίμηρος Ντεκάιλο</t>
  </si>
  <si>
    <t>Ιωάννης Χουλίδης</t>
  </si>
  <si>
    <t>Μ70</t>
  </si>
  <si>
    <t>Ιωάννης Γρανίτσας</t>
  </si>
  <si>
    <t>Παύλος Χαραλαμπίδης</t>
  </si>
  <si>
    <t>21.08.1948</t>
  </si>
  <si>
    <t>Δημήτριος Ομηρίδης</t>
  </si>
  <si>
    <t>Βελιγράδι, Σερβία</t>
  </si>
  <si>
    <t>Βουδαπέστη, Ουγγαρία</t>
  </si>
  <si>
    <t>Βαλκανικό Πρωτάθλημα</t>
  </si>
  <si>
    <t>Χρύσανθος Μπιλιούρης</t>
  </si>
  <si>
    <t>Κωνσταντίνος Χατζηεμμανουήλ</t>
  </si>
  <si>
    <t>Σοφοκλής Κυριαζάκος</t>
  </si>
  <si>
    <t>Πανελλήνιο Πρωτάθλημα Α/Γ</t>
  </si>
  <si>
    <t>Διονύσιος Κοντονής</t>
  </si>
  <si>
    <t>Κωνσταντινούπολη, Τουρκία</t>
  </si>
  <si>
    <t>Μαδρίτη, Ισπανία</t>
  </si>
  <si>
    <t>Πανευρωπαϊκό Πρωτάθλημα</t>
  </si>
  <si>
    <t>Μπέρμινχαμ, Μ. Βρετανία</t>
  </si>
  <si>
    <t>Αντώνιος Μόρφης</t>
  </si>
  <si>
    <t>Κλερμόν Φεράν, Γαλλία</t>
  </si>
  <si>
    <t>Κωνσταντίνος Κομματάς</t>
  </si>
  <si>
    <t>Περικλής Ιακωβάκης</t>
  </si>
  <si>
    <t>Νικόλαος Τσιάκουλας</t>
  </si>
  <si>
    <t>Ιούλιος Αρμάος</t>
  </si>
  <si>
    <t>Χαράλαμπος Κωνσταντινίδης</t>
  </si>
  <si>
    <t>Γεώργιος Θεοδωσίου</t>
  </si>
  <si>
    <t>Παύλος Τζαναβάρας</t>
  </si>
  <si>
    <t>Οδυσσέας Άγρος</t>
  </si>
  <si>
    <t>Ιωάννης Κυρδήμος</t>
  </si>
  <si>
    <t>Βουκουρέστι, Ρουμανία</t>
  </si>
  <si>
    <t>Παναγιώτης Δούσης</t>
  </si>
  <si>
    <t>Σπυρίδων Ανδριόπουλος</t>
  </si>
  <si>
    <t>Κων/πολη, Τουρκία</t>
  </si>
  <si>
    <t>Άννα Δάφτσου</t>
  </si>
  <si>
    <t>Μαρία Μουρατίδου</t>
  </si>
  <si>
    <t>Πολωνικό Πρωτάθλημα</t>
  </si>
  <si>
    <t>Μήκος</t>
  </si>
  <si>
    <t>Ιωάννης Κερασίδης</t>
  </si>
  <si>
    <t>Ιωάννης Μπέλλος</t>
  </si>
  <si>
    <t>Σαν Σεμπαστιάν, Ισπανία</t>
  </si>
  <si>
    <t>Γεώργιος Μακρής</t>
  </si>
  <si>
    <t>Άρης Καραγιώργος</t>
  </si>
  <si>
    <t>Χρήστος Καραγιώργος</t>
  </si>
  <si>
    <t>Δημήτριος Κελεπούρης</t>
  </si>
  <si>
    <t>Ηρακλής Βασιλειάδης</t>
  </si>
  <si>
    <t>Χαράλαμπος Τοκατλίδης</t>
  </si>
  <si>
    <t>Γιβάσκιλα, Φινλανδία</t>
  </si>
  <si>
    <t>Νικόλαος Αρβανίτης</t>
  </si>
  <si>
    <t>Αθήνα, ΣΕΦ</t>
  </si>
  <si>
    <t>Γάνδη, Βέλγιο</t>
  </si>
  <si>
    <t>Λιντς, Αυστρία</t>
  </si>
  <si>
    <t>Μαρία Τσώνη</t>
  </si>
  <si>
    <t>Αναστασία Θωμάιδου</t>
  </si>
  <si>
    <t>Σπυριδούλα Σούμα</t>
  </si>
  <si>
    <t>Αγγελική Μακρή</t>
  </si>
  <si>
    <t>Καλλιόπη Γαβαλάκη</t>
  </si>
  <si>
    <t>Μόνικα Μωυσίδου</t>
  </si>
  <si>
    <t>W55</t>
  </si>
  <si>
    <t>Φανή Λύκου</t>
  </si>
  <si>
    <t>Αθήνα, Αγ. Κοσμάς</t>
  </si>
  <si>
    <t>12.03.1967</t>
  </si>
  <si>
    <t>Χριστίνα Μαραγιάννη</t>
  </si>
  <si>
    <t>Αθηνά Βαϊνά</t>
  </si>
  <si>
    <t>Μαρία Τζάνου</t>
  </si>
  <si>
    <t>Βίγκα Δέσποινα</t>
  </si>
  <si>
    <t>Σταματία Φώτα</t>
  </si>
  <si>
    <t>Αριάδνη Δάδα</t>
  </si>
  <si>
    <t>Κωνσταντίνα Παρλαμάνη</t>
  </si>
  <si>
    <t>Σοφία Κατάκη</t>
  </si>
  <si>
    <t>Κωνσταντίνα Κεφαλά</t>
  </si>
  <si>
    <t>Ελπίδα Γιώτη</t>
  </si>
  <si>
    <t xml:space="preserve">Στεφανία Λεοντιάδου </t>
  </si>
  <si>
    <t>Αντιγόνη Ντρισμπιώτη</t>
  </si>
  <si>
    <t>Σοφία Υφαντίδου</t>
  </si>
  <si>
    <t>Χρυσούλα Δημητροπούλου</t>
  </si>
  <si>
    <t>Ημερίδα ΟΕΒΑΣ</t>
  </si>
  <si>
    <t>Κωνσταντίνος Μπούμπας</t>
  </si>
  <si>
    <t>Σπυρίδων Τουρκομανώλης</t>
  </si>
  <si>
    <t>Ημερίδα ΣΕΓΑΣ</t>
  </si>
  <si>
    <t xml:space="preserve">Πανελλήνιο Πρωτάθλημα </t>
  </si>
  <si>
    <t>Σπήλιος Ζαχαρόπουλος</t>
  </si>
  <si>
    <t>Κωνσταντίνος Κορδώσης</t>
  </si>
  <si>
    <t>Ιωάννης Παππάς</t>
  </si>
  <si>
    <t>Παναγιώτης Γάκης</t>
  </si>
  <si>
    <t>Αντώνιος Βούζης</t>
  </si>
  <si>
    <t>Δημήτριος Μπρέκης</t>
  </si>
  <si>
    <t>Παναγιώτης Σκουλής</t>
  </si>
  <si>
    <t>Ελευθέριος Μαυρόπουλος</t>
  </si>
  <si>
    <t>Μπορντώ, Γαλλία</t>
  </si>
  <si>
    <t>Παναγιώτης Κανακάρης</t>
  </si>
  <si>
    <t>Γεώργιος Φακιολάς</t>
  </si>
  <si>
    <t>Συμεών Συμεωνίδης</t>
  </si>
  <si>
    <t>Θεσσαλονίκη</t>
  </si>
  <si>
    <t xml:space="preserve">Ημερίδα </t>
  </si>
  <si>
    <t>25.03.2019</t>
  </si>
  <si>
    <t>Ελένη Γκούζια</t>
  </si>
  <si>
    <t xml:space="preserve">Βασ. Μονογιού </t>
  </si>
  <si>
    <t>Γεώργιος Δεληγιαννίδης</t>
  </si>
  <si>
    <t>Σμαράγδα Μανδύλα</t>
  </si>
  <si>
    <t>Μάλμοε, Σουηδία</t>
  </si>
  <si>
    <t>Νόβο Μέστο, Σλοβενία</t>
  </si>
  <si>
    <t>Παντελής Χρυσοχός</t>
  </si>
  <si>
    <t>13.03.2022</t>
  </si>
  <si>
    <t>Νόβο Μέστο, Σλοβεβία</t>
  </si>
  <si>
    <t>Παναγιωτίδου Μάιρα</t>
  </si>
  <si>
    <t>Κωνσταντίνος Δουβαλίδης</t>
  </si>
  <si>
    <t>Κυριάκος Μπέης</t>
  </si>
  <si>
    <t>Παναγιώτης Τριβυζάς</t>
  </si>
  <si>
    <t>Πανευρωπαϊκό Πρωτάθλημα A/Γ</t>
  </si>
  <si>
    <t>Αντώνιος Καταντωνάκης</t>
  </si>
  <si>
    <t>Γιαμπλονετς να Νίσου, Τσεχία</t>
  </si>
  <si>
    <t>Παναγιώτα Ασημακοπούλου</t>
  </si>
  <si>
    <t>Παντελεήμων Καραματσούκης</t>
  </si>
  <si>
    <t>Πράγα, Τσεχία</t>
  </si>
  <si>
    <t>Πρωτάθλημα Τσεχίας</t>
  </si>
  <si>
    <t>Πρωτάθλημα Σερβίας</t>
  </si>
  <si>
    <t>20.03.2024</t>
  </si>
  <si>
    <t>Μπίργκιτ Βαν Ντε Βίτζγκαρτ</t>
  </si>
  <si>
    <t>Τορουν, Πολωνία</t>
  </si>
  <si>
    <t>Νικόλαος Κόκος</t>
  </si>
  <si>
    <t>Εθνικό Πρωτάθλημα</t>
  </si>
  <si>
    <t>Note</t>
  </si>
  <si>
    <t>30,91</t>
  </si>
  <si>
    <t>Κατηγορία</t>
  </si>
  <si>
    <t>Αγώνισμα</t>
  </si>
  <si>
    <t>Owners</t>
  </si>
  <si>
    <t>Event</t>
  </si>
  <si>
    <t>MEN</t>
  </si>
  <si>
    <t>W</t>
  </si>
  <si>
    <t>WOMEN</t>
  </si>
  <si>
    <t>Date</t>
  </si>
  <si>
    <t>Id</t>
  </si>
  <si>
    <t>Μ</t>
  </si>
  <si>
    <t>Δημήτριος Δημητρακόπουλος</t>
  </si>
  <si>
    <t>07.10.1968</t>
  </si>
  <si>
    <t>25.01.2025</t>
  </si>
  <si>
    <t>Αθήνα, OAKA</t>
  </si>
  <si>
    <t>Ρόδος</t>
  </si>
  <si>
    <t>Κρυσταλλία Αθανασοπούλου</t>
  </si>
  <si>
    <t>Ρουμανία</t>
  </si>
  <si>
    <t>Gender</t>
  </si>
  <si>
    <t>Male</t>
  </si>
  <si>
    <t>IDR</t>
  </si>
  <si>
    <t>RaceName</t>
  </si>
  <si>
    <t>TrackType</t>
  </si>
  <si>
    <t>Indoor</t>
  </si>
  <si>
    <t>Female</t>
  </si>
  <si>
    <t>7.23</t>
  </si>
  <si>
    <t>8.43</t>
  </si>
  <si>
    <t>8.70</t>
  </si>
  <si>
    <t>11.80</t>
  </si>
  <si>
    <t>20.16</t>
  </si>
  <si>
    <t>25.56</t>
  </si>
  <si>
    <t>27.67</t>
  </si>
  <si>
    <t>43.86</t>
  </si>
  <si>
    <t>60μ Εμπόδια</t>
  </si>
  <si>
    <t>60μ</t>
  </si>
  <si>
    <t>200μ</t>
  </si>
  <si>
    <t>400μ</t>
  </si>
  <si>
    <t>800μ</t>
  </si>
  <si>
    <t>1500μ</t>
  </si>
  <si>
    <t>3000μ</t>
  </si>
  <si>
    <t>3000μ Βάδην</t>
  </si>
  <si>
    <t>MARK</t>
  </si>
  <si>
    <t>1.03.39</t>
  </si>
  <si>
    <t>1.07.66</t>
  </si>
  <si>
    <t>1.10.96</t>
  </si>
  <si>
    <t>1.19.20</t>
  </si>
  <si>
    <t>1.45.10</t>
  </si>
  <si>
    <t>1.141.18</t>
  </si>
  <si>
    <t>1.56.28</t>
  </si>
  <si>
    <t>2.17.37</t>
  </si>
  <si>
    <t>8.40</t>
  </si>
  <si>
    <t>8.60</t>
  </si>
  <si>
    <t>9.30</t>
  </si>
  <si>
    <t>10.60</t>
  </si>
  <si>
    <t>10.20</t>
  </si>
  <si>
    <t>14.40</t>
  </si>
  <si>
    <t>30.62</t>
  </si>
  <si>
    <t>6.69</t>
  </si>
  <si>
    <t>7.24</t>
  </si>
  <si>
    <t>7.42</t>
  </si>
  <si>
    <t>7.46</t>
  </si>
  <si>
    <t>8.10</t>
  </si>
  <si>
    <t>8.48</t>
  </si>
  <si>
    <t>8.30</t>
  </si>
  <si>
    <t>8.64</t>
  </si>
  <si>
    <t>8.81</t>
  </si>
  <si>
    <t>9.33</t>
  </si>
  <si>
    <t>11.01</t>
  </si>
  <si>
    <t>13.06</t>
  </si>
  <si>
    <t>13.72</t>
  </si>
  <si>
    <t>8.54</t>
  </si>
  <si>
    <t>10.88</t>
  </si>
  <si>
    <t>11.53</t>
  </si>
  <si>
    <t>18.64</t>
  </si>
  <si>
    <t>23.90</t>
  </si>
  <si>
    <t>21.37</t>
  </si>
  <si>
    <t>23.48</t>
  </si>
  <si>
    <t>24.87</t>
  </si>
  <si>
    <t>24.08</t>
  </si>
  <si>
    <t>26.02</t>
  </si>
  <si>
    <t>28.27</t>
  </si>
  <si>
    <t>29.66</t>
  </si>
  <si>
    <t>30.64</t>
  </si>
  <si>
    <t>33.03</t>
  </si>
  <si>
    <t>35.52</t>
  </si>
  <si>
    <t>41.85</t>
  </si>
  <si>
    <t>48.33</t>
  </si>
  <si>
    <t>50.40</t>
  </si>
  <si>
    <t>27.37</t>
  </si>
  <si>
    <t>29.44</t>
  </si>
  <si>
    <t>52.12</t>
  </si>
  <si>
    <t>48.70</t>
  </si>
  <si>
    <t>53.70</t>
  </si>
  <si>
    <t>54.87</t>
  </si>
  <si>
    <t>57.46</t>
  </si>
  <si>
    <t>58.03</t>
  </si>
  <si>
    <t>55.29</t>
  </si>
  <si>
    <t>59.23</t>
  </si>
  <si>
    <t>1.09.54</t>
  </si>
  <si>
    <t>1.31.96</t>
  </si>
  <si>
    <t>1.41.6</t>
  </si>
  <si>
    <t>1.54.27</t>
  </si>
  <si>
    <t>2.05.31</t>
  </si>
  <si>
    <t>2.09.71</t>
  </si>
  <si>
    <t>2.12.23</t>
  </si>
  <si>
    <t>2.23.77</t>
  </si>
  <si>
    <t>2.31.40</t>
  </si>
  <si>
    <t>2.38.18</t>
  </si>
  <si>
    <t>2.51.82</t>
  </si>
  <si>
    <t>3.01.3</t>
  </si>
  <si>
    <t>3.36.8</t>
  </si>
  <si>
    <t>4.08.05</t>
  </si>
  <si>
    <t>4.42.77</t>
  </si>
  <si>
    <t>5.45.15</t>
  </si>
  <si>
    <t>2.16.31</t>
  </si>
  <si>
    <t>2.17.25</t>
  </si>
  <si>
    <t>2.18.17</t>
  </si>
  <si>
    <t>2.58.84</t>
  </si>
  <si>
    <t>2.46.68</t>
  </si>
  <si>
    <t>3.39.0</t>
  </si>
  <si>
    <t>4.21.88</t>
  </si>
  <si>
    <t>4.39.89</t>
  </si>
  <si>
    <t>3.58.78</t>
  </si>
  <si>
    <t>4.21.56</t>
  </si>
  <si>
    <t>4.21.21</t>
  </si>
  <si>
    <t>4.25.66</t>
  </si>
  <si>
    <t>4.57.59</t>
  </si>
  <si>
    <t>5.15.82</t>
  </si>
  <si>
    <t>5.28.0</t>
  </si>
  <si>
    <t>5.55.53</t>
  </si>
  <si>
    <t>7.11.92</t>
  </si>
  <si>
    <t>8.23.41</t>
  </si>
  <si>
    <t>9.02.35</t>
  </si>
  <si>
    <t>4.31.00</t>
  </si>
  <si>
    <t>5.42.33</t>
  </si>
  <si>
    <t>5.38.43</t>
  </si>
  <si>
    <t>5.45.80</t>
  </si>
  <si>
    <t>5.53.91</t>
  </si>
  <si>
    <t>7.50.96</t>
  </si>
  <si>
    <t>10.34.78</t>
  </si>
  <si>
    <t>8.07.22</t>
  </si>
  <si>
    <t>8.55.48</t>
  </si>
  <si>
    <t>9.24.0</t>
  </si>
  <si>
    <t>9.53.72</t>
  </si>
  <si>
    <t>10.30.0</t>
  </si>
  <si>
    <t>10.26.60</t>
  </si>
  <si>
    <t>11.30.8</t>
  </si>
  <si>
    <t>13.24.5</t>
  </si>
  <si>
    <t>12.32.1</t>
  </si>
  <si>
    <t>13.10.0</t>
  </si>
  <si>
    <t>19.02.15</t>
  </si>
  <si>
    <t>9.46.44</t>
  </si>
  <si>
    <t>10.17.35</t>
  </si>
  <si>
    <t>11.59.21</t>
  </si>
  <si>
    <t>12.04.97</t>
  </si>
  <si>
    <t>14.18.07</t>
  </si>
  <si>
    <t>15.52.03</t>
  </si>
  <si>
    <t>22.43.92</t>
  </si>
  <si>
    <t>13.00.0</t>
  </si>
  <si>
    <t>12.38.5</t>
  </si>
  <si>
    <t>12.12.2</t>
  </si>
  <si>
    <t>12.57.3</t>
  </si>
  <si>
    <t>16.16.68</t>
  </si>
  <si>
    <t>15.51.0</t>
  </si>
  <si>
    <t>16.29.0</t>
  </si>
  <si>
    <t>19.31.04</t>
  </si>
  <si>
    <t>19.40.88</t>
  </si>
  <si>
    <t>21.56.57</t>
  </si>
  <si>
    <t>23.03.49</t>
  </si>
  <si>
    <t>24.33.94</t>
  </si>
  <si>
    <t>12.18.26</t>
  </si>
  <si>
    <t>14.08.15</t>
  </si>
  <si>
    <t>16.31.38</t>
  </si>
  <si>
    <t>15.42.11</t>
  </si>
  <si>
    <t>16.44.91</t>
  </si>
  <si>
    <t>19.47.7</t>
  </si>
  <si>
    <t>7.76</t>
  </si>
  <si>
    <t>8.56</t>
  </si>
  <si>
    <t>8.92</t>
  </si>
  <si>
    <t>9.57</t>
  </si>
  <si>
    <t>9.78</t>
  </si>
  <si>
    <t>10.07</t>
  </si>
  <si>
    <t>10.28</t>
  </si>
  <si>
    <t>13.73</t>
  </si>
  <si>
    <t>8.63</t>
  </si>
  <si>
    <t>10.84</t>
  </si>
  <si>
    <t>13.48</t>
  </si>
  <si>
    <t>10.26</t>
  </si>
  <si>
    <t>13.92</t>
  </si>
  <si>
    <t>14.25</t>
  </si>
  <si>
    <t>10.00</t>
  </si>
  <si>
    <t>7.40</t>
  </si>
  <si>
    <t>14.50</t>
  </si>
  <si>
    <t>Town</t>
  </si>
  <si>
    <t>Athlete Name</t>
  </si>
  <si>
    <t>First Name</t>
  </si>
  <si>
    <t>Last Name</t>
  </si>
  <si>
    <t>Date of Birth</t>
  </si>
  <si>
    <t>Ανδριάννα Φέρρα</t>
  </si>
  <si>
    <t xml:space="preserve">Μιχαήλ Μαλατίδης	 </t>
  </si>
  <si>
    <t>Age Group</t>
  </si>
  <si>
    <t>Μ35 (1.06)</t>
  </si>
  <si>
    <t>Μ40 (0.99)</t>
  </si>
  <si>
    <t>Μ45 (0.99)</t>
  </si>
  <si>
    <t>Μ50 (0.91)</t>
  </si>
  <si>
    <t>Μ55 (0.91)</t>
  </si>
  <si>
    <t>Μ60 (0.84)</t>
  </si>
  <si>
    <t>Μ65 (0.84)</t>
  </si>
  <si>
    <t>Μ70 (0.76)</t>
  </si>
  <si>
    <t>Μ75 (0.76)</t>
  </si>
  <si>
    <t>Μ80 (0.68)</t>
  </si>
  <si>
    <t>W35 (0.84)</t>
  </si>
  <si>
    <t>W40 (0.762)</t>
  </si>
  <si>
    <t>W45 (0.762)</t>
  </si>
  <si>
    <t>W50 (0.762)</t>
  </si>
  <si>
    <t>W55 (0.762)</t>
  </si>
  <si>
    <t>W60 (0.686)</t>
  </si>
  <si>
    <t>W65 (0.686)</t>
  </si>
  <si>
    <t>W70 (0.686)</t>
  </si>
  <si>
    <t>Notes</t>
  </si>
  <si>
    <t>20/0/2013</t>
  </si>
  <si>
    <t>16/02/2003</t>
  </si>
  <si>
    <t>08/02/2025</t>
  </si>
  <si>
    <t>01/01/2014</t>
  </si>
  <si>
    <t>27/03/2019</t>
  </si>
  <si>
    <t>07/02/2026</t>
  </si>
  <si>
    <t>01/01/2000</t>
  </si>
  <si>
    <t>01/01/1900</t>
  </si>
  <si>
    <t>04/02/2023</t>
  </si>
  <si>
    <t>22/02/1998</t>
  </si>
  <si>
    <t>06/02/2026</t>
  </si>
  <si>
    <t>01/01/1999</t>
  </si>
  <si>
    <t>20/02/2022</t>
  </si>
  <si>
    <t>20/03/2024</t>
  </si>
  <si>
    <t>01/02/1998</t>
  </si>
  <si>
    <t>23/02/2020</t>
  </si>
  <si>
    <t>07/03/2020</t>
  </si>
  <si>
    <t>19/03/2024</t>
  </si>
  <si>
    <t>10/03/2018</t>
  </si>
  <si>
    <t>01/01/2008</t>
  </si>
  <si>
    <t>01/01/2015</t>
  </si>
  <si>
    <t>01/01/2018</t>
  </si>
  <si>
    <t>10/02/2024</t>
  </si>
  <si>
    <t>19/02/2023</t>
  </si>
  <si>
    <t>19/02/2017</t>
  </si>
  <si>
    <t>11/02/2024</t>
  </si>
  <si>
    <t>03/03/2019</t>
  </si>
  <si>
    <t>27/03/2015</t>
  </si>
  <si>
    <t>22/03/2018</t>
  </si>
  <si>
    <t>08/03/2020</t>
  </si>
  <si>
    <t>01/03/1997</t>
  </si>
  <si>
    <t>29/03/2014</t>
  </si>
  <si>
    <t>29/03/2019</t>
  </si>
  <si>
    <t>22/03/2024</t>
  </si>
  <si>
    <t>09/02/2014</t>
  </si>
  <si>
    <t>19/03/2023</t>
  </si>
  <si>
    <t>22/02/2020</t>
  </si>
  <si>
    <t>08/02/2026</t>
  </si>
  <si>
    <t>14/02/2015</t>
  </si>
  <si>
    <t>01/01/1991</t>
  </si>
  <si>
    <t>25/02/2024</t>
  </si>
  <si>
    <t>24/03/2019</t>
  </si>
  <si>
    <t>09/02/2025</t>
  </si>
  <si>
    <t>12/03/2022</t>
  </si>
  <si>
    <t>01/01/1997</t>
  </si>
  <si>
    <t>27/03/2014</t>
  </si>
  <si>
    <t>26/03/2019</t>
  </si>
  <si>
    <t>03/03/2023</t>
  </si>
  <si>
    <t>10/02/2018</t>
  </si>
  <si>
    <t>17/02/2024</t>
  </si>
  <si>
    <t>18/03/2023</t>
  </si>
  <si>
    <t>01/01/1995</t>
  </si>
  <si>
    <t>30/01/1994</t>
  </si>
  <si>
    <t>25/01/2019</t>
  </si>
  <si>
    <t>11/02/2023</t>
  </si>
  <si>
    <t>01/01/2011</t>
  </si>
  <si>
    <t>22/02/2015</t>
  </si>
  <si>
    <t>01/01/2006</t>
  </si>
  <si>
    <t>01/01/1992</t>
  </si>
  <si>
    <t>28/03/2014</t>
  </si>
  <si>
    <t>21/03/2024</t>
  </si>
  <si>
    <t>16/02/2020</t>
  </si>
  <si>
    <t>18/02/2024</t>
  </si>
  <si>
    <t>01/01/1996</t>
  </si>
  <si>
    <t>19/03/2011</t>
  </si>
  <si>
    <t>01/01/2009</t>
  </si>
  <si>
    <t>13/02/2022</t>
  </si>
  <si>
    <t>15/02/2025</t>
  </si>
  <si>
    <t>01/01/2001</t>
  </si>
  <si>
    <t>18/03/2006</t>
  </si>
  <si>
    <t>12/03/2016</t>
  </si>
  <si>
    <t>03/03/2024</t>
  </si>
  <si>
    <t>23/03/2024</t>
  </si>
  <si>
    <t>15/02/1997</t>
  </si>
  <si>
    <t>01/01/1994</t>
  </si>
  <si>
    <t>01/01/2002</t>
  </si>
  <si>
    <t>05/02/1995</t>
  </si>
  <si>
    <t>10/02/2019</t>
  </si>
  <si>
    <t>17/03/2008</t>
  </si>
  <si>
    <t>18/01/1998</t>
  </si>
  <si>
    <t>05/02/1994</t>
  </si>
  <si>
    <t>10/02/2001</t>
  </si>
  <si>
    <t>13/02/2000</t>
  </si>
  <si>
    <t>02/03/2019</t>
  </si>
  <si>
    <t>18/03/2024</t>
  </si>
  <si>
    <t>18/02/2023</t>
  </si>
  <si>
    <t>28/02/2020</t>
  </si>
  <si>
    <t>28/03/2023</t>
  </si>
  <si>
    <t>20/03/2008</t>
  </si>
  <si>
    <t>08/02/1986</t>
  </si>
  <si>
    <t>02/02/1991</t>
  </si>
  <si>
    <t>04/02/1996</t>
  </si>
  <si>
    <t>08/03/2003</t>
  </si>
  <si>
    <t>21/03/2008</t>
  </si>
  <si>
    <t>01/01/2012</t>
  </si>
  <si>
    <t>01/04/2023</t>
  </si>
  <si>
    <t>17/03/2011</t>
  </si>
  <si>
    <t>24/06/1968</t>
  </si>
  <si>
    <t>30/07/1983</t>
  </si>
  <si>
    <t>16/06/1968</t>
  </si>
  <si>
    <t>18/05/1940</t>
  </si>
  <si>
    <t>25/08/1952</t>
  </si>
  <si>
    <t>01/01/1946</t>
  </si>
  <si>
    <t>25/10/1956</t>
  </si>
  <si>
    <t>24/09/1924</t>
  </si>
  <si>
    <t>21/08/1948</t>
  </si>
  <si>
    <t>06/06/1916</t>
  </si>
  <si>
    <t>08/12/1936</t>
  </si>
  <si>
    <t>25/01/1929</t>
  </si>
  <si>
    <t>01/03/1963</t>
  </si>
  <si>
    <t>13/02/1976</t>
  </si>
  <si>
    <t>25/09/1970</t>
  </si>
  <si>
    <t>12/03/1967</t>
  </si>
  <si>
    <t>22/03/1957</t>
  </si>
  <si>
    <t>07/01/1945</t>
  </si>
  <si>
    <t>22/11/1943</t>
  </si>
  <si>
    <t>06/12/1933</t>
  </si>
  <si>
    <t>22/11/1987</t>
  </si>
  <si>
    <t>20/05/1975</t>
  </si>
  <si>
    <t>21/09/1977</t>
  </si>
  <si>
    <t>02/10/1969</t>
  </si>
  <si>
    <t>10/01/1945</t>
  </si>
  <si>
    <t>23/07/1977</t>
  </si>
  <si>
    <t>18/11/1979</t>
  </si>
  <si>
    <t>18/05/1970</t>
  </si>
  <si>
    <t>08/12/1959</t>
  </si>
  <si>
    <t>18/01/1940</t>
  </si>
  <si>
    <t>24/03/1979</t>
  </si>
  <si>
    <t>02/02/1950</t>
  </si>
  <si>
    <t>06/02/1969</t>
  </si>
  <si>
    <t>28/10/1956</t>
  </si>
  <si>
    <t>15/10/1951</t>
  </si>
  <si>
    <t>11/02/1988</t>
  </si>
  <si>
    <t>30/01/1978</t>
  </si>
  <si>
    <t>21/05/1964</t>
  </si>
  <si>
    <t>16/03/1959</t>
  </si>
  <si>
    <t>04/04/1977</t>
  </si>
  <si>
    <t>01/06/1974</t>
  </si>
  <si>
    <t>17/05/1952</t>
  </si>
  <si>
    <t>01/01/1950</t>
  </si>
  <si>
    <t>09/05/1935</t>
  </si>
  <si>
    <t>01/01/1915</t>
  </si>
  <si>
    <t>23/09/1933</t>
  </si>
  <si>
    <t>25/11/1972</t>
  </si>
  <si>
    <t>18/09/1968</t>
  </si>
  <si>
    <t>01/01/1932</t>
  </si>
  <si>
    <t>01/01/1966</t>
  </si>
  <si>
    <t>01/01/1969</t>
  </si>
  <si>
    <t>30/10/1957</t>
  </si>
  <si>
    <t>30/08/1944</t>
  </si>
  <si>
    <t>09/08/1977</t>
  </si>
  <si>
    <t>23/01/1974</t>
  </si>
  <si>
    <t>01/08/1962</t>
  </si>
  <si>
    <t>01/01/1982</t>
  </si>
  <si>
    <t>01/01/1936</t>
  </si>
  <si>
    <t>01/01/1939</t>
  </si>
  <si>
    <t>01/01/1929</t>
  </si>
  <si>
    <t>01/01/1931</t>
  </si>
  <si>
    <t>01/01/1983</t>
  </si>
  <si>
    <t>27/04/1965</t>
  </si>
  <si>
    <t>07/04/1963</t>
  </si>
  <si>
    <t>29/10/1963</t>
  </si>
  <si>
    <t>27/07/1951</t>
  </si>
  <si>
    <t>03/05/1953</t>
  </si>
  <si>
    <t>15/01/1965</t>
  </si>
  <si>
    <t>31/01/1936</t>
  </si>
  <si>
    <t>24/01/1934</t>
  </si>
  <si>
    <t>18/11/1947</t>
  </si>
  <si>
    <t>21/03/1984</t>
  </si>
  <si>
    <t>25/09/1978</t>
  </si>
  <si>
    <t>24/12/1966</t>
  </si>
  <si>
    <t>10/03/1987</t>
  </si>
  <si>
    <t>19/06/1966</t>
  </si>
  <si>
    <t>12/01/1944</t>
  </si>
  <si>
    <t>21/08/1967</t>
  </si>
  <si>
    <t>23/12/1933</t>
  </si>
  <si>
    <t>10/01/1985</t>
  </si>
  <si>
    <t>25/08/1966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</si>
</sst>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0.000694444444444444]s.00;m:s.00"/>
  </numFmts>
  <fonts count="5" x14ac:knownFonts="1">
    <font>
      <sz val="11"/>
      <color theme="1"/>
      <name val="Calibri"/>
      <family val="2"/>
      <charset val="161"/>
      <scheme val="minor"/>
    </font>
    <font>
      <b/>
      <sz val="10"/>
      <color theme="1"/>
      <name val="Aptos Display"/>
    </font>
    <font>
      <sz val="10"/>
      <color theme="1"/>
      <name val="Aptos Display"/>
    </font>
    <font>
      <sz val="10"/>
      <name val="Aptos Display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6"/>
  <sheetViews>
    <sheetView tabSelected="1" topLeftCell="C1" zoomScale="140" zoomScaleNormal="140" workbookViewId="0">
      <pane ySplit="1" topLeftCell="A2" activePane="bottomLeft" state="frozen"/>
      <selection pane="bottomLeft" activeCell="L1" sqref="L1"/>
    </sheetView>
  </sheetViews>
  <sheetFormatPr baseColWidth="10" defaultColWidth="9.1640625" defaultRowHeight="15" customHeight="1" x14ac:dyDescent="0.2"/>
  <cols>
    <col min="1" max="1" width="9.1640625" style="1"/>
    <col min="2" max="2" width="13" style="6" bestFit="1" customWidth="1"/>
    <col min="3" max="4" width="18.83203125" style="6" customWidth="1"/>
    <col min="5" max="5" width="8.6640625" style="8" customWidth="1"/>
    <col min="6" max="6" width="10.6640625" style="8" customWidth="1"/>
    <col min="7" max="7" width="13.6640625" style="17" customWidth="1"/>
    <col min="8" max="8" width="13.6640625" style="8" customWidth="1"/>
    <col min="9" max="9" width="31.6640625" style="1" customWidth="1"/>
    <col min="10" max="10" width="12.6640625" style="8" customWidth="1"/>
    <col min="11" max="11" width="11.6640625" style="8" customWidth="1"/>
    <col min="12" max="12" width="27" style="1" customWidth="1"/>
    <col min="13" max="13" width="26.6640625" style="1" customWidth="1"/>
    <col min="14" max="16384" width="9.1640625" style="1"/>
  </cols>
  <sheetData>
    <row r="1" spans="1:14" ht="15" customHeight="1" x14ac:dyDescent="0.2">
      <c r="A1" s="3" t="s">
        <v>336</v>
      </c>
      <c r="B1" s="3" t="s">
        <v>140</v>
      </c>
      <c r="C1" s="3" t="s">
        <v>154</v>
      </c>
      <c r="D1" s="3" t="s">
        <v>158</v>
      </c>
      <c r="E1" s="7" t="s">
        <v>177</v>
      </c>
      <c r="F1" s="7" t="s">
        <v>156</v>
      </c>
      <c r="G1" s="16" t="s">
        <v>331</v>
      </c>
      <c r="H1" s="7" t="s">
        <v>332</v>
      </c>
      <c r="I1" s="3" t="s">
        <v>330</v>
      </c>
      <c r="J1" s="7" t="s">
        <v>333</v>
      </c>
      <c r="K1" s="7" t="s">
        <v>144</v>
      </c>
      <c r="L1" s="3" t="s">
        <v>329</v>
      </c>
      <c r="M1" s="3" t="s">
        <v>157</v>
      </c>
      <c r="N1" s="3" t="s">
        <v>355</v>
      </c>
    </row>
    <row r="2" spans="1:14" ht="15" customHeight="1" x14ac:dyDescent="0.2">
      <c r="A2" s="1">
        <v>35</v>
      </c>
      <c r="B2" s="6" t="s">
        <v>170</v>
      </c>
      <c r="C2" s="6" t="s">
        <v>155</v>
      </c>
      <c r="D2" s="6" t="s">
        <v>159</v>
      </c>
      <c r="E2" s="18" t="s">
        <v>193</v>
      </c>
      <c r="F2" s="8">
        <v>1</v>
      </c>
      <c r="G2" s="17" t="str">
        <f t="shared" ref="G2:G33" si="0">LEFT(I2,FIND(" ",I2))</f>
        <v xml:space="preserve">Αλέξανδρος </v>
      </c>
      <c r="H2" s="17" t="str">
        <f t="shared" ref="H2:H33" si="1">MID(I2,FIND(" ",I2)+1,LEN(I2)-LEN(G2))</f>
        <v>Τερζιάν</v>
      </c>
      <c r="I2" s="1" t="s">
        <v>4</v>
      </c>
      <c r="J2" s="20" t="s">
        <v>453</v>
      </c>
      <c r="K2" s="20" t="s">
        <v>357</v>
      </c>
      <c r="L2" s="1" t="s">
        <v>5</v>
      </c>
      <c r="M2" s="1" t="s">
        <v>107</v>
      </c>
    </row>
    <row r="3" spans="1:14" ht="15" customHeight="1" x14ac:dyDescent="0.2">
      <c r="A3" s="1">
        <v>40</v>
      </c>
      <c r="B3" s="6" t="s">
        <v>170</v>
      </c>
      <c r="C3" s="6" t="s">
        <v>155</v>
      </c>
      <c r="D3" s="6" t="s">
        <v>159</v>
      </c>
      <c r="E3" s="18" t="s">
        <v>194</v>
      </c>
      <c r="F3" s="8">
        <v>1</v>
      </c>
      <c r="G3" s="17" t="str">
        <f t="shared" si="0"/>
        <v xml:space="preserve">Παντελεήμων </v>
      </c>
      <c r="H3" s="17" t="str">
        <f t="shared" si="1"/>
        <v>Καραματσούκης</v>
      </c>
      <c r="I3" s="1" t="s">
        <v>126</v>
      </c>
      <c r="J3" s="20" t="s">
        <v>454</v>
      </c>
      <c r="K3" s="20" t="s">
        <v>358</v>
      </c>
      <c r="L3" s="1" t="s">
        <v>106</v>
      </c>
      <c r="M3" s="1" t="s">
        <v>92</v>
      </c>
    </row>
    <row r="4" spans="1:14" ht="15" customHeight="1" x14ac:dyDescent="0.2">
      <c r="A4" s="1">
        <v>45</v>
      </c>
      <c r="B4" s="6" t="s">
        <v>170</v>
      </c>
      <c r="C4" s="6" t="s">
        <v>155</v>
      </c>
      <c r="D4" s="6" t="s">
        <v>159</v>
      </c>
      <c r="E4" s="18" t="s">
        <v>195</v>
      </c>
      <c r="F4" s="8">
        <v>1</v>
      </c>
      <c r="G4" s="17" t="str">
        <f t="shared" si="0"/>
        <v xml:space="preserve">Μάριος </v>
      </c>
      <c r="H4" s="17" t="str">
        <f t="shared" si="1"/>
        <v>Χριστοφορίδης</v>
      </c>
      <c r="I4" s="1" t="s">
        <v>6</v>
      </c>
      <c r="J4" s="20" t="s">
        <v>455</v>
      </c>
      <c r="K4" s="8" t="s">
        <v>359</v>
      </c>
      <c r="L4" s="1" t="s">
        <v>21</v>
      </c>
      <c r="M4" s="1" t="s">
        <v>10</v>
      </c>
    </row>
    <row r="5" spans="1:14" ht="15" customHeight="1" x14ac:dyDescent="0.2">
      <c r="A5" s="1">
        <v>50</v>
      </c>
      <c r="B5" s="6" t="s">
        <v>170</v>
      </c>
      <c r="C5" s="6" t="s">
        <v>155</v>
      </c>
      <c r="D5" s="6" t="s">
        <v>159</v>
      </c>
      <c r="E5" s="18" t="s">
        <v>327</v>
      </c>
      <c r="F5" s="8">
        <v>1</v>
      </c>
      <c r="G5" s="17" t="str">
        <f t="shared" si="0"/>
        <v xml:space="preserve">Μάριος </v>
      </c>
      <c r="H5" s="17" t="str">
        <f t="shared" si="1"/>
        <v>Χριστοφορίδης</v>
      </c>
      <c r="I5" s="1" t="s">
        <v>6</v>
      </c>
      <c r="J5" s="20" t="s">
        <v>455</v>
      </c>
      <c r="K5" s="20" t="s">
        <v>360</v>
      </c>
      <c r="L5" s="1" t="s">
        <v>11</v>
      </c>
      <c r="M5" s="1" t="s">
        <v>10</v>
      </c>
    </row>
    <row r="6" spans="1:14" ht="15" customHeight="1" x14ac:dyDescent="0.2">
      <c r="A6" s="1">
        <v>55</v>
      </c>
      <c r="B6" s="6" t="s">
        <v>170</v>
      </c>
      <c r="C6" s="6" t="s">
        <v>155</v>
      </c>
      <c r="D6" s="6" t="s">
        <v>159</v>
      </c>
      <c r="E6" s="18" t="s">
        <v>196</v>
      </c>
      <c r="F6" s="8">
        <v>1</v>
      </c>
      <c r="G6" s="17" t="str">
        <f t="shared" si="0"/>
        <v xml:space="preserve">Μάριος </v>
      </c>
      <c r="H6" s="17" t="str">
        <f t="shared" si="1"/>
        <v>Χριστοφορίδης</v>
      </c>
      <c r="I6" s="1" t="s">
        <v>6</v>
      </c>
      <c r="J6" s="20" t="s">
        <v>455</v>
      </c>
      <c r="K6" s="20" t="s">
        <v>361</v>
      </c>
      <c r="L6" s="1" t="s">
        <v>106</v>
      </c>
      <c r="M6" s="1" t="s">
        <v>107</v>
      </c>
    </row>
    <row r="7" spans="1:14" ht="15" customHeight="1" x14ac:dyDescent="0.2">
      <c r="A7" s="1">
        <v>60</v>
      </c>
      <c r="B7" s="6" t="s">
        <v>170</v>
      </c>
      <c r="C7" s="6" t="s">
        <v>155</v>
      </c>
      <c r="D7" s="6" t="s">
        <v>159</v>
      </c>
      <c r="E7" s="19" t="s">
        <v>197</v>
      </c>
      <c r="F7" s="8">
        <v>2</v>
      </c>
      <c r="G7" s="17" t="str">
        <f t="shared" si="0"/>
        <v xml:space="preserve">Σπυρίδων </v>
      </c>
      <c r="H7" s="17" t="str">
        <f t="shared" si="1"/>
        <v>Τουρκομανώλης</v>
      </c>
      <c r="I7" s="1" t="s">
        <v>91</v>
      </c>
      <c r="J7" s="20" t="s">
        <v>456</v>
      </c>
      <c r="K7" s="8" t="s">
        <v>362</v>
      </c>
      <c r="L7" s="1" t="s">
        <v>5</v>
      </c>
      <c r="M7" s="1" t="s">
        <v>89</v>
      </c>
    </row>
    <row r="8" spans="1:14" ht="15" customHeight="1" x14ac:dyDescent="0.2">
      <c r="A8" s="1">
        <v>60</v>
      </c>
      <c r="B8" s="6" t="s">
        <v>170</v>
      </c>
      <c r="C8" s="6" t="s">
        <v>155</v>
      </c>
      <c r="D8" s="6" t="s">
        <v>159</v>
      </c>
      <c r="E8" s="18" t="s">
        <v>198</v>
      </c>
      <c r="F8" s="8">
        <v>2</v>
      </c>
      <c r="G8" s="17" t="str">
        <f t="shared" si="0"/>
        <v xml:space="preserve">Ιωάννης </v>
      </c>
      <c r="H8" s="17" t="str">
        <f t="shared" si="1"/>
        <v>Χουλίδης</v>
      </c>
      <c r="I8" s="1" t="s">
        <v>14</v>
      </c>
      <c r="J8" s="20" t="s">
        <v>457</v>
      </c>
      <c r="K8" s="20" t="s">
        <v>356</v>
      </c>
      <c r="L8" s="1" t="s">
        <v>53</v>
      </c>
      <c r="M8" s="1" t="s">
        <v>30</v>
      </c>
    </row>
    <row r="9" spans="1:14" ht="15" customHeight="1" x14ac:dyDescent="0.2">
      <c r="A9" s="1">
        <v>65</v>
      </c>
      <c r="B9" s="6" t="s">
        <v>170</v>
      </c>
      <c r="C9" s="6" t="s">
        <v>155</v>
      </c>
      <c r="D9" s="6" t="s">
        <v>159</v>
      </c>
      <c r="E9" s="19" t="s">
        <v>199</v>
      </c>
      <c r="F9" s="8">
        <v>2</v>
      </c>
      <c r="G9" s="17" t="str">
        <f t="shared" si="0"/>
        <v xml:space="preserve">Κωνσταντίνος </v>
      </c>
      <c r="H9" s="17" t="str">
        <f t="shared" si="1"/>
        <v>Μπούμπας</v>
      </c>
      <c r="I9" s="1" t="s">
        <v>90</v>
      </c>
      <c r="J9" s="20" t="s">
        <v>458</v>
      </c>
      <c r="K9" s="8" t="s">
        <v>363</v>
      </c>
      <c r="L9" s="1" t="s">
        <v>5</v>
      </c>
      <c r="M9" s="1" t="s">
        <v>89</v>
      </c>
    </row>
    <row r="10" spans="1:14" ht="15" customHeight="1" x14ac:dyDescent="0.2">
      <c r="A10" s="1">
        <v>65</v>
      </c>
      <c r="B10" s="6" t="s">
        <v>170</v>
      </c>
      <c r="C10" s="6" t="s">
        <v>155</v>
      </c>
      <c r="D10" s="6" t="s">
        <v>159</v>
      </c>
      <c r="E10" s="18" t="s">
        <v>200</v>
      </c>
      <c r="F10" s="8">
        <v>2</v>
      </c>
      <c r="G10" s="17" t="str">
        <f t="shared" si="0"/>
        <v xml:space="preserve">Βλαδίμηρος </v>
      </c>
      <c r="H10" s="17" t="str">
        <f t="shared" si="1"/>
        <v>Ντεκάιλο</v>
      </c>
      <c r="I10" s="1" t="s">
        <v>13</v>
      </c>
      <c r="J10" s="20" t="s">
        <v>459</v>
      </c>
      <c r="K10" s="20" t="s">
        <v>364</v>
      </c>
      <c r="L10" s="1" t="s">
        <v>73</v>
      </c>
      <c r="M10" s="14" t="s">
        <v>89</v>
      </c>
    </row>
    <row r="11" spans="1:14" ht="15" customHeight="1" x14ac:dyDescent="0.2">
      <c r="A11" s="1">
        <v>70</v>
      </c>
      <c r="B11" s="6" t="s">
        <v>170</v>
      </c>
      <c r="C11" s="6" t="s">
        <v>155</v>
      </c>
      <c r="D11" s="6" t="s">
        <v>159</v>
      </c>
      <c r="E11" s="19" t="s">
        <v>186</v>
      </c>
      <c r="F11" s="8">
        <v>2</v>
      </c>
      <c r="G11" s="17" t="str">
        <f t="shared" si="0"/>
        <v xml:space="preserve">Ιωάννης </v>
      </c>
      <c r="H11" s="17" t="str">
        <f t="shared" si="1"/>
        <v>Γρανίτσας</v>
      </c>
      <c r="I11" s="1" t="s">
        <v>16</v>
      </c>
      <c r="J11" s="20" t="s">
        <v>460</v>
      </c>
      <c r="K11" s="20" t="s">
        <v>365</v>
      </c>
      <c r="L11" s="1" t="s">
        <v>5</v>
      </c>
      <c r="M11" s="1" t="s">
        <v>89</v>
      </c>
    </row>
    <row r="12" spans="1:14" ht="15" customHeight="1" x14ac:dyDescent="0.2">
      <c r="A12" s="1">
        <v>70</v>
      </c>
      <c r="B12" s="6" t="s">
        <v>170</v>
      </c>
      <c r="C12" s="6" t="s">
        <v>155</v>
      </c>
      <c r="D12" s="6" t="s">
        <v>159</v>
      </c>
      <c r="E12" s="18" t="s">
        <v>201</v>
      </c>
      <c r="F12" s="8">
        <v>2</v>
      </c>
      <c r="G12" s="17" t="str">
        <f t="shared" si="0"/>
        <v xml:space="preserve">Παντελής </v>
      </c>
      <c r="H12" s="17" t="str">
        <f t="shared" si="1"/>
        <v>Χρυσοχός</v>
      </c>
      <c r="I12" s="1" t="s">
        <v>115</v>
      </c>
      <c r="J12" s="20" t="s">
        <v>461</v>
      </c>
      <c r="K12" s="20" t="s">
        <v>366</v>
      </c>
      <c r="L12" s="1" t="s">
        <v>151</v>
      </c>
      <c r="M12" s="1" t="s">
        <v>107</v>
      </c>
    </row>
    <row r="13" spans="1:14" ht="15" customHeight="1" x14ac:dyDescent="0.2">
      <c r="A13" s="1">
        <v>75</v>
      </c>
      <c r="B13" s="6" t="s">
        <v>170</v>
      </c>
      <c r="C13" s="6" t="s">
        <v>155</v>
      </c>
      <c r="D13" s="6" t="s">
        <v>159</v>
      </c>
      <c r="E13" s="18" t="s">
        <v>202</v>
      </c>
      <c r="F13" s="8">
        <v>1</v>
      </c>
      <c r="G13" s="17" t="str">
        <f t="shared" si="0"/>
        <v xml:space="preserve">Ιωάννης </v>
      </c>
      <c r="H13" s="17" t="str">
        <f t="shared" si="1"/>
        <v>Γρανίτσας</v>
      </c>
      <c r="I13" s="1" t="s">
        <v>16</v>
      </c>
      <c r="J13" s="20" t="s">
        <v>460</v>
      </c>
      <c r="K13" s="8" t="s">
        <v>367</v>
      </c>
      <c r="L13" s="1" t="s">
        <v>113</v>
      </c>
      <c r="M13" s="1" t="s">
        <v>30</v>
      </c>
    </row>
    <row r="14" spans="1:14" ht="15" customHeight="1" x14ac:dyDescent="0.2">
      <c r="A14" s="1">
        <v>80</v>
      </c>
      <c r="B14" s="6" t="s">
        <v>170</v>
      </c>
      <c r="C14" s="6" t="s">
        <v>155</v>
      </c>
      <c r="D14" s="6" t="s">
        <v>159</v>
      </c>
      <c r="E14" s="18" t="s">
        <v>326</v>
      </c>
      <c r="F14" s="8">
        <v>1</v>
      </c>
      <c r="G14" s="17" t="str">
        <f t="shared" si="0"/>
        <v xml:space="preserve">Χρύσανθος </v>
      </c>
      <c r="H14" s="17" t="str">
        <f t="shared" si="1"/>
        <v>Μπιλιούρης</v>
      </c>
      <c r="I14" s="1" t="s">
        <v>23</v>
      </c>
      <c r="J14" s="20" t="s">
        <v>462</v>
      </c>
      <c r="K14" s="20" t="s">
        <v>365</v>
      </c>
      <c r="L14" s="1" t="s">
        <v>5</v>
      </c>
      <c r="M14" s="1" t="s">
        <v>89</v>
      </c>
    </row>
    <row r="15" spans="1:14" ht="15" customHeight="1" x14ac:dyDescent="0.2">
      <c r="A15" s="1">
        <v>85</v>
      </c>
      <c r="B15" s="6" t="s">
        <v>170</v>
      </c>
      <c r="C15" s="6" t="s">
        <v>155</v>
      </c>
      <c r="D15" s="6" t="s">
        <v>159</v>
      </c>
      <c r="E15" s="18" t="s">
        <v>203</v>
      </c>
      <c r="F15" s="8">
        <v>1</v>
      </c>
      <c r="G15" s="17" t="str">
        <f t="shared" si="0"/>
        <v xml:space="preserve">Ιωάννης </v>
      </c>
      <c r="H15" s="17" t="str">
        <f t="shared" si="1"/>
        <v>Μπέλλος</v>
      </c>
      <c r="I15" s="1" t="s">
        <v>52</v>
      </c>
      <c r="J15" s="20" t="s">
        <v>463</v>
      </c>
      <c r="K15" s="20" t="s">
        <v>368</v>
      </c>
      <c r="L15" s="1" t="s">
        <v>73</v>
      </c>
      <c r="M15" s="1" t="s">
        <v>107</v>
      </c>
    </row>
    <row r="16" spans="1:14" ht="15" customHeight="1" x14ac:dyDescent="0.2">
      <c r="A16" s="1">
        <v>90</v>
      </c>
      <c r="B16" s="6" t="s">
        <v>170</v>
      </c>
      <c r="C16" s="6" t="s">
        <v>155</v>
      </c>
      <c r="D16" s="6" t="s">
        <v>159</v>
      </c>
      <c r="E16" s="18" t="s">
        <v>204</v>
      </c>
      <c r="F16" s="8">
        <v>1</v>
      </c>
      <c r="G16" s="17" t="str">
        <f t="shared" si="0"/>
        <v xml:space="preserve">Κωνσταντίνος </v>
      </c>
      <c r="H16" s="17" t="str">
        <f t="shared" si="1"/>
        <v>Χατζηεμμανουήλ</v>
      </c>
      <c r="I16" s="1" t="s">
        <v>24</v>
      </c>
      <c r="J16" s="20" t="s">
        <v>464</v>
      </c>
      <c r="K16" s="20" t="s">
        <v>360</v>
      </c>
      <c r="L16" s="1" t="s">
        <v>11</v>
      </c>
      <c r="M16" s="1" t="s">
        <v>10</v>
      </c>
    </row>
    <row r="17" spans="1:13" ht="15" customHeight="1" x14ac:dyDescent="0.2">
      <c r="A17" s="1">
        <v>95</v>
      </c>
      <c r="B17" s="6" t="s">
        <v>170</v>
      </c>
      <c r="C17" s="6" t="s">
        <v>155</v>
      </c>
      <c r="D17" s="6" t="s">
        <v>159</v>
      </c>
      <c r="E17" s="18" t="s">
        <v>205</v>
      </c>
      <c r="F17" s="8">
        <v>1</v>
      </c>
      <c r="G17" s="17" t="str">
        <f t="shared" si="0"/>
        <v xml:space="preserve">Κωνσταντίνος </v>
      </c>
      <c r="H17" s="17" t="str">
        <f t="shared" si="1"/>
        <v>Χατζηεμμανουήλ</v>
      </c>
      <c r="I17" s="1" t="s">
        <v>24</v>
      </c>
      <c r="J17" s="20" t="s">
        <v>464</v>
      </c>
      <c r="K17" s="20" t="s">
        <v>369</v>
      </c>
      <c r="L17" s="1" t="s">
        <v>11</v>
      </c>
      <c r="M17" s="1" t="s">
        <v>30</v>
      </c>
    </row>
    <row r="18" spans="1:13" ht="15" customHeight="1" x14ac:dyDescent="0.2">
      <c r="A18" s="1">
        <v>35</v>
      </c>
      <c r="B18" s="6" t="s">
        <v>170</v>
      </c>
      <c r="C18" s="6" t="s">
        <v>160</v>
      </c>
      <c r="D18" s="6" t="s">
        <v>159</v>
      </c>
      <c r="E18" s="18" t="s">
        <v>161</v>
      </c>
      <c r="F18" s="8">
        <v>1</v>
      </c>
      <c r="G18" s="17" t="str">
        <f t="shared" si="0"/>
        <v xml:space="preserve">Μαρία </v>
      </c>
      <c r="H18" s="17" t="str">
        <f t="shared" si="1"/>
        <v>Τσώνη</v>
      </c>
      <c r="I18" s="1" t="s">
        <v>65</v>
      </c>
      <c r="J18" s="20" t="s">
        <v>465</v>
      </c>
      <c r="K18" s="20" t="s">
        <v>370</v>
      </c>
      <c r="L18" s="1" t="s">
        <v>62</v>
      </c>
      <c r="M18" s="14" t="s">
        <v>92</v>
      </c>
    </row>
    <row r="19" spans="1:13" ht="15" customHeight="1" x14ac:dyDescent="0.2">
      <c r="A19" s="1">
        <v>40</v>
      </c>
      <c r="B19" s="6" t="s">
        <v>170</v>
      </c>
      <c r="C19" s="6" t="s">
        <v>160</v>
      </c>
      <c r="D19" s="6" t="s">
        <v>159</v>
      </c>
      <c r="E19" s="19" t="s">
        <v>186</v>
      </c>
      <c r="F19" s="8">
        <v>1</v>
      </c>
      <c r="G19" s="17" t="str">
        <f t="shared" si="0"/>
        <v xml:space="preserve">Φανή </v>
      </c>
      <c r="H19" s="17" t="str">
        <f t="shared" si="1"/>
        <v>Λύκου</v>
      </c>
      <c r="I19" s="14" t="s">
        <v>72</v>
      </c>
      <c r="J19" s="21" t="s">
        <v>466</v>
      </c>
      <c r="K19" s="21" t="s">
        <v>371</v>
      </c>
      <c r="L19" s="14" t="s">
        <v>73</v>
      </c>
      <c r="M19" s="14" t="s">
        <v>89</v>
      </c>
    </row>
    <row r="20" spans="1:13" ht="15" customHeight="1" x14ac:dyDescent="0.2">
      <c r="A20" s="1">
        <v>45</v>
      </c>
      <c r="B20" s="6" t="s">
        <v>170</v>
      </c>
      <c r="C20" s="6" t="s">
        <v>160</v>
      </c>
      <c r="D20" s="6" t="s">
        <v>159</v>
      </c>
      <c r="E20" s="18" t="s">
        <v>162</v>
      </c>
      <c r="F20" s="8">
        <v>1</v>
      </c>
      <c r="G20" s="17" t="str">
        <f t="shared" si="0"/>
        <v xml:space="preserve">Άννα </v>
      </c>
      <c r="H20" s="17" t="str">
        <f t="shared" si="1"/>
        <v>Δάφτσου</v>
      </c>
      <c r="I20" s="1" t="s">
        <v>47</v>
      </c>
      <c r="J20" s="20" t="s">
        <v>467</v>
      </c>
      <c r="K20" s="20" t="s">
        <v>372</v>
      </c>
      <c r="L20" s="1" t="s">
        <v>20</v>
      </c>
      <c r="M20" s="1" t="s">
        <v>22</v>
      </c>
    </row>
    <row r="21" spans="1:13" ht="15" customHeight="1" x14ac:dyDescent="0.2">
      <c r="A21" s="1">
        <v>50</v>
      </c>
      <c r="B21" s="6" t="s">
        <v>170</v>
      </c>
      <c r="C21" s="6" t="s">
        <v>160</v>
      </c>
      <c r="D21" s="6" t="s">
        <v>159</v>
      </c>
      <c r="E21" s="18" t="s">
        <v>206</v>
      </c>
      <c r="F21" s="8">
        <v>1</v>
      </c>
      <c r="G21" s="17" t="str">
        <f t="shared" si="0"/>
        <v xml:space="preserve">Μαρία </v>
      </c>
      <c r="H21" s="17" t="str">
        <f t="shared" si="1"/>
        <v>Μουρατίδου</v>
      </c>
      <c r="I21" s="1" t="s">
        <v>48</v>
      </c>
      <c r="J21" s="20" t="s">
        <v>468</v>
      </c>
      <c r="K21" s="20" t="s">
        <v>372</v>
      </c>
      <c r="L21" s="1" t="s">
        <v>20</v>
      </c>
      <c r="M21" s="1" t="s">
        <v>22</v>
      </c>
    </row>
    <row r="22" spans="1:13" ht="15" customHeight="1" x14ac:dyDescent="0.2">
      <c r="A22" s="1">
        <v>55</v>
      </c>
      <c r="B22" s="6" t="s">
        <v>170</v>
      </c>
      <c r="C22" s="6" t="s">
        <v>160</v>
      </c>
      <c r="D22" s="6" t="s">
        <v>159</v>
      </c>
      <c r="E22" s="18" t="s">
        <v>163</v>
      </c>
      <c r="F22" s="8">
        <v>1</v>
      </c>
      <c r="G22" s="17" t="str">
        <f t="shared" si="0"/>
        <v xml:space="preserve">Μαρία </v>
      </c>
      <c r="H22" s="17" t="str">
        <f t="shared" si="1"/>
        <v>Μουρατίδου</v>
      </c>
      <c r="I22" s="1" t="s">
        <v>48</v>
      </c>
      <c r="J22" s="20" t="s">
        <v>468</v>
      </c>
      <c r="K22" s="20" t="s">
        <v>373</v>
      </c>
      <c r="L22" s="1" t="s">
        <v>11</v>
      </c>
      <c r="M22" s="1" t="s">
        <v>30</v>
      </c>
    </row>
    <row r="23" spans="1:13" ht="15" customHeight="1" x14ac:dyDescent="0.2">
      <c r="A23" s="1">
        <v>60</v>
      </c>
      <c r="B23" s="6" t="s">
        <v>170</v>
      </c>
      <c r="C23" s="6" t="s">
        <v>160</v>
      </c>
      <c r="D23" s="6" t="s">
        <v>159</v>
      </c>
      <c r="E23" s="18" t="s">
        <v>207</v>
      </c>
      <c r="F23" s="8">
        <v>1</v>
      </c>
      <c r="G23" s="17" t="str">
        <f t="shared" si="0"/>
        <v xml:space="preserve">Μαρία </v>
      </c>
      <c r="H23" s="17" t="str">
        <f t="shared" si="1"/>
        <v>Τζάνου</v>
      </c>
      <c r="I23" s="1" t="s">
        <v>77</v>
      </c>
      <c r="J23" s="20" t="s">
        <v>469</v>
      </c>
      <c r="K23" s="20" t="s">
        <v>374</v>
      </c>
      <c r="L23" s="1" t="s">
        <v>20</v>
      </c>
      <c r="M23" s="1" t="s">
        <v>22</v>
      </c>
    </row>
    <row r="24" spans="1:13" ht="15" customHeight="1" x14ac:dyDescent="0.2">
      <c r="A24" s="1">
        <v>65</v>
      </c>
      <c r="B24" s="6" t="s">
        <v>170</v>
      </c>
      <c r="C24" s="6" t="s">
        <v>160</v>
      </c>
      <c r="D24" s="6" t="s">
        <v>159</v>
      </c>
      <c r="E24" s="18" t="s">
        <v>164</v>
      </c>
      <c r="F24" s="8">
        <v>1</v>
      </c>
      <c r="G24" s="17" t="str">
        <f t="shared" si="0"/>
        <v xml:space="preserve">Βασ. </v>
      </c>
      <c r="H24" s="17" t="str">
        <f t="shared" si="1"/>
        <v xml:space="preserve">Μονογιού </v>
      </c>
      <c r="I24" s="1" t="s">
        <v>110</v>
      </c>
      <c r="K24" s="8" t="s">
        <v>375</v>
      </c>
      <c r="L24" s="1" t="s">
        <v>73</v>
      </c>
      <c r="M24" s="14" t="s">
        <v>89</v>
      </c>
    </row>
    <row r="25" spans="1:13" ht="15" customHeight="1" x14ac:dyDescent="0.2">
      <c r="A25" s="1">
        <v>70</v>
      </c>
      <c r="B25" s="6" t="s">
        <v>170</v>
      </c>
      <c r="C25" s="6" t="s">
        <v>160</v>
      </c>
      <c r="D25" s="6" t="s">
        <v>159</v>
      </c>
      <c r="E25" s="18" t="s">
        <v>208</v>
      </c>
      <c r="F25" s="8">
        <v>1</v>
      </c>
      <c r="G25" s="17" t="str">
        <f t="shared" si="0"/>
        <v xml:space="preserve">Ελένη </v>
      </c>
      <c r="H25" s="17" t="str">
        <f t="shared" si="1"/>
        <v>Γκούζια</v>
      </c>
      <c r="I25" s="1" t="s">
        <v>109</v>
      </c>
      <c r="J25" s="20" t="s">
        <v>470</v>
      </c>
      <c r="K25" s="8" t="s">
        <v>376</v>
      </c>
    </row>
    <row r="26" spans="1:13" ht="15" customHeight="1" x14ac:dyDescent="0.2">
      <c r="A26" s="1">
        <v>75</v>
      </c>
      <c r="B26" s="6" t="s">
        <v>170</v>
      </c>
      <c r="C26" s="6" t="s">
        <v>160</v>
      </c>
      <c r="D26" s="6" t="s">
        <v>159</v>
      </c>
      <c r="E26" s="18" t="s">
        <v>328</v>
      </c>
      <c r="F26" s="8">
        <v>1</v>
      </c>
      <c r="G26" s="17" t="str">
        <f t="shared" si="0"/>
        <v xml:space="preserve">Βίγκα </v>
      </c>
      <c r="H26" s="17" t="str">
        <f t="shared" si="1"/>
        <v>Δέσποινα</v>
      </c>
      <c r="I26" s="1" t="s">
        <v>78</v>
      </c>
      <c r="J26" s="20" t="s">
        <v>471</v>
      </c>
      <c r="K26" s="8" t="s">
        <v>377</v>
      </c>
    </row>
    <row r="27" spans="1:13" ht="15" customHeight="1" x14ac:dyDescent="0.2">
      <c r="A27" s="1">
        <v>80</v>
      </c>
      <c r="B27" s="6" t="s">
        <v>170</v>
      </c>
      <c r="C27" s="6" t="s">
        <v>160</v>
      </c>
      <c r="D27" s="6" t="s">
        <v>159</v>
      </c>
      <c r="E27" s="18" t="s">
        <v>209</v>
      </c>
      <c r="F27" s="8">
        <v>1</v>
      </c>
      <c r="G27" s="17" t="str">
        <f t="shared" si="0"/>
        <v xml:space="preserve">Σταματία </v>
      </c>
      <c r="H27" s="17" t="str">
        <f t="shared" si="1"/>
        <v>Φώτα</v>
      </c>
      <c r="I27" s="1" t="s">
        <v>79</v>
      </c>
      <c r="J27" s="20" t="s">
        <v>472</v>
      </c>
      <c r="K27" s="8" t="s">
        <v>377</v>
      </c>
    </row>
    <row r="28" spans="1:13" ht="15" customHeight="1" x14ac:dyDescent="0.2">
      <c r="A28" s="1">
        <v>85</v>
      </c>
      <c r="B28" s="6" t="s">
        <v>170</v>
      </c>
      <c r="C28" s="6" t="s">
        <v>160</v>
      </c>
      <c r="D28" s="6" t="s">
        <v>159</v>
      </c>
      <c r="E28" s="18" t="s">
        <v>165</v>
      </c>
      <c r="F28" s="8">
        <v>1</v>
      </c>
      <c r="G28" s="17" t="str">
        <f t="shared" si="0"/>
        <v xml:space="preserve">Σταματία </v>
      </c>
      <c r="H28" s="17" t="str">
        <f t="shared" si="1"/>
        <v>Φώτα</v>
      </c>
      <c r="I28" s="1" t="s">
        <v>79</v>
      </c>
      <c r="J28" s="20" t="s">
        <v>472</v>
      </c>
      <c r="K28" s="20" t="s">
        <v>371</v>
      </c>
      <c r="L28" s="14" t="s">
        <v>73</v>
      </c>
      <c r="M28" s="14" t="s">
        <v>89</v>
      </c>
    </row>
    <row r="29" spans="1:13" ht="15" customHeight="1" x14ac:dyDescent="0.2">
      <c r="A29" s="1">
        <v>90</v>
      </c>
      <c r="B29" s="6" t="s">
        <v>170</v>
      </c>
      <c r="C29" s="6" t="s">
        <v>160</v>
      </c>
      <c r="D29" s="6" t="s">
        <v>159</v>
      </c>
      <c r="E29" s="19" t="s">
        <v>210</v>
      </c>
      <c r="F29" s="8">
        <v>1</v>
      </c>
      <c r="G29" s="17" t="str">
        <f t="shared" si="0"/>
        <v xml:space="preserve">Σταματία </v>
      </c>
      <c r="H29" s="17" t="str">
        <f t="shared" si="1"/>
        <v>Φώτα</v>
      </c>
      <c r="I29" s="1" t="s">
        <v>79</v>
      </c>
      <c r="J29" s="20" t="s">
        <v>472</v>
      </c>
      <c r="K29" s="20" t="s">
        <v>378</v>
      </c>
      <c r="L29" s="14" t="s">
        <v>73</v>
      </c>
      <c r="M29" s="14" t="s">
        <v>89</v>
      </c>
    </row>
    <row r="30" spans="1:13" ht="15" customHeight="1" x14ac:dyDescent="0.2">
      <c r="A30" s="1">
        <v>35</v>
      </c>
      <c r="B30" s="6" t="s">
        <v>171</v>
      </c>
      <c r="C30" s="6" t="s">
        <v>155</v>
      </c>
      <c r="D30" s="6" t="s">
        <v>159</v>
      </c>
      <c r="E30" s="18" t="s">
        <v>211</v>
      </c>
      <c r="F30" s="8">
        <v>1</v>
      </c>
      <c r="G30" s="17" t="str">
        <f t="shared" si="0"/>
        <v xml:space="preserve">Παναγιώτης </v>
      </c>
      <c r="H30" s="17" t="str">
        <f t="shared" si="1"/>
        <v>Τριβυζάς</v>
      </c>
      <c r="I30" s="1" t="s">
        <v>121</v>
      </c>
      <c r="J30" s="20" t="s">
        <v>473</v>
      </c>
      <c r="K30" s="20" t="s">
        <v>379</v>
      </c>
      <c r="L30" s="1" t="s">
        <v>62</v>
      </c>
      <c r="M30" s="1" t="s">
        <v>26</v>
      </c>
    </row>
    <row r="31" spans="1:13" ht="15" customHeight="1" x14ac:dyDescent="0.2">
      <c r="A31" s="1">
        <v>40</v>
      </c>
      <c r="B31" s="6" t="s">
        <v>171</v>
      </c>
      <c r="C31" s="6" t="s">
        <v>155</v>
      </c>
      <c r="D31" s="6" t="s">
        <v>159</v>
      </c>
      <c r="E31" s="18" t="s">
        <v>212</v>
      </c>
      <c r="F31" s="8">
        <v>1</v>
      </c>
      <c r="G31" s="17" t="str">
        <f t="shared" si="0"/>
        <v xml:space="preserve">Σοφοκλής </v>
      </c>
      <c r="H31" s="17" t="str">
        <f t="shared" si="1"/>
        <v>Κυριαζάκος</v>
      </c>
      <c r="I31" s="1" t="s">
        <v>25</v>
      </c>
      <c r="J31" s="20" t="s">
        <v>474</v>
      </c>
      <c r="K31" s="20" t="s">
        <v>380</v>
      </c>
      <c r="L31" s="1" t="s">
        <v>62</v>
      </c>
      <c r="M31" s="1" t="s">
        <v>26</v>
      </c>
    </row>
    <row r="32" spans="1:13" ht="15" customHeight="1" x14ac:dyDescent="0.2">
      <c r="A32" s="1">
        <v>45</v>
      </c>
      <c r="B32" s="6" t="s">
        <v>171</v>
      </c>
      <c r="C32" s="6" t="s">
        <v>155</v>
      </c>
      <c r="D32" s="6" t="s">
        <v>159</v>
      </c>
      <c r="E32" s="18" t="s">
        <v>213</v>
      </c>
      <c r="F32" s="8">
        <v>1</v>
      </c>
      <c r="G32" s="17" t="str">
        <f t="shared" si="0"/>
        <v xml:space="preserve">Αντώνιος </v>
      </c>
      <c r="H32" s="17" t="str">
        <f t="shared" si="1"/>
        <v>Καταντωνάκης</v>
      </c>
      <c r="I32" s="1" t="s">
        <v>123</v>
      </c>
      <c r="J32" s="20" t="s">
        <v>475</v>
      </c>
      <c r="K32" s="20" t="s">
        <v>381</v>
      </c>
      <c r="L32" s="1" t="s">
        <v>127</v>
      </c>
      <c r="M32" s="1" t="s">
        <v>128</v>
      </c>
    </row>
    <row r="33" spans="1:13" ht="15" customHeight="1" x14ac:dyDescent="0.2">
      <c r="A33" s="1">
        <v>50</v>
      </c>
      <c r="B33" s="6" t="s">
        <v>171</v>
      </c>
      <c r="C33" s="6" t="s">
        <v>155</v>
      </c>
      <c r="D33" s="6" t="s">
        <v>159</v>
      </c>
      <c r="E33" s="18" t="s">
        <v>214</v>
      </c>
      <c r="F33" s="8">
        <v>1</v>
      </c>
      <c r="G33" s="17" t="str">
        <f t="shared" si="0"/>
        <v xml:space="preserve">Μάριος </v>
      </c>
      <c r="H33" s="17" t="str">
        <f t="shared" si="1"/>
        <v>Χριστοφορίδης</v>
      </c>
      <c r="I33" s="1" t="s">
        <v>6</v>
      </c>
      <c r="J33" s="20" t="s">
        <v>455</v>
      </c>
      <c r="K33" s="20" t="s">
        <v>382</v>
      </c>
      <c r="L33" s="1" t="s">
        <v>28</v>
      </c>
      <c r="M33" s="1" t="s">
        <v>22</v>
      </c>
    </row>
    <row r="34" spans="1:13" ht="15" customHeight="1" x14ac:dyDescent="0.2">
      <c r="A34" s="1">
        <v>55</v>
      </c>
      <c r="B34" s="6" t="s">
        <v>171</v>
      </c>
      <c r="C34" s="6" t="s">
        <v>155</v>
      </c>
      <c r="D34" s="6" t="s">
        <v>159</v>
      </c>
      <c r="E34" s="18" t="s">
        <v>215</v>
      </c>
      <c r="F34" s="8">
        <v>1</v>
      </c>
      <c r="G34" s="17" t="str">
        <f t="shared" ref="G34:G65" si="2">LEFT(I34,FIND(" ",I34))</f>
        <v xml:space="preserve">Νικόλαος </v>
      </c>
      <c r="H34" s="17" t="str">
        <f t="shared" ref="H34:H65" si="3">MID(I34,FIND(" ",I34)+1,LEN(I34)-LEN(G34))</f>
        <v>Κόκος</v>
      </c>
      <c r="I34" s="1" t="s">
        <v>133</v>
      </c>
      <c r="J34" s="20" t="s">
        <v>476</v>
      </c>
      <c r="K34" s="20" t="s">
        <v>358</v>
      </c>
      <c r="L34" s="1" t="s">
        <v>132</v>
      </c>
      <c r="M34" s="1" t="s">
        <v>134</v>
      </c>
    </row>
    <row r="35" spans="1:13" ht="15" customHeight="1" x14ac:dyDescent="0.2">
      <c r="A35" s="1">
        <v>60</v>
      </c>
      <c r="B35" s="6" t="s">
        <v>171</v>
      </c>
      <c r="C35" s="6" t="s">
        <v>155</v>
      </c>
      <c r="D35" s="6" t="s">
        <v>159</v>
      </c>
      <c r="E35" s="18" t="s">
        <v>216</v>
      </c>
      <c r="F35" s="8">
        <v>1</v>
      </c>
      <c r="G35" s="17" t="str">
        <f t="shared" si="2"/>
        <v xml:space="preserve">Ιωάννης </v>
      </c>
      <c r="H35" s="17" t="str">
        <f t="shared" si="3"/>
        <v>Χουλίδης</v>
      </c>
      <c r="I35" s="1" t="s">
        <v>14</v>
      </c>
      <c r="J35" s="20" t="s">
        <v>457</v>
      </c>
      <c r="K35" s="20" t="s">
        <v>383</v>
      </c>
      <c r="L35" s="1" t="s">
        <v>11</v>
      </c>
      <c r="M35" s="1" t="s">
        <v>30</v>
      </c>
    </row>
    <row r="36" spans="1:13" ht="15" customHeight="1" x14ac:dyDescent="0.2">
      <c r="A36" s="1">
        <v>65</v>
      </c>
      <c r="B36" s="6" t="s">
        <v>171</v>
      </c>
      <c r="C36" s="6" t="s">
        <v>155</v>
      </c>
      <c r="D36" s="6" t="s">
        <v>159</v>
      </c>
      <c r="E36" s="18" t="s">
        <v>217</v>
      </c>
      <c r="F36" s="8">
        <v>1</v>
      </c>
      <c r="G36" s="17" t="str">
        <f t="shared" si="2"/>
        <v xml:space="preserve">Ιωάννης </v>
      </c>
      <c r="H36" s="17" t="str">
        <f t="shared" si="3"/>
        <v>Χουλίδης</v>
      </c>
      <c r="I36" s="1" t="s">
        <v>14</v>
      </c>
      <c r="J36" s="20" t="s">
        <v>457</v>
      </c>
      <c r="K36" s="20" t="s">
        <v>384</v>
      </c>
      <c r="L36" s="1" t="s">
        <v>29</v>
      </c>
      <c r="M36" s="1" t="s">
        <v>30</v>
      </c>
    </row>
    <row r="37" spans="1:13" ht="15" customHeight="1" x14ac:dyDescent="0.2">
      <c r="A37" s="1">
        <v>70</v>
      </c>
      <c r="B37" s="6" t="s">
        <v>171</v>
      </c>
      <c r="C37" s="6" t="s">
        <v>155</v>
      </c>
      <c r="D37" s="6" t="s">
        <v>159</v>
      </c>
      <c r="E37" s="18" t="s">
        <v>218</v>
      </c>
      <c r="F37" s="8">
        <v>1</v>
      </c>
      <c r="G37" s="17" t="str">
        <f t="shared" si="2"/>
        <v xml:space="preserve">Παύλος </v>
      </c>
      <c r="H37" s="17" t="str">
        <f t="shared" si="3"/>
        <v>Χαραλαμπίδης</v>
      </c>
      <c r="I37" s="1" t="s">
        <v>17</v>
      </c>
      <c r="J37" s="20" t="s">
        <v>461</v>
      </c>
      <c r="K37" s="20" t="s">
        <v>385</v>
      </c>
      <c r="L37" s="1" t="s">
        <v>20</v>
      </c>
      <c r="M37" s="1" t="s">
        <v>22</v>
      </c>
    </row>
    <row r="38" spans="1:13" ht="15" customHeight="1" x14ac:dyDescent="0.2">
      <c r="A38" s="1">
        <v>75</v>
      </c>
      <c r="B38" s="6" t="s">
        <v>171</v>
      </c>
      <c r="C38" s="6" t="s">
        <v>155</v>
      </c>
      <c r="D38" s="6" t="s">
        <v>159</v>
      </c>
      <c r="E38" s="18" t="s">
        <v>219</v>
      </c>
      <c r="F38" s="8">
        <v>1</v>
      </c>
      <c r="G38" s="17" t="str">
        <f t="shared" si="2"/>
        <v xml:space="preserve">Δημήτριος </v>
      </c>
      <c r="H38" s="17" t="str">
        <f t="shared" si="3"/>
        <v>Ομηρίδης</v>
      </c>
      <c r="I38" s="1" t="s">
        <v>19</v>
      </c>
      <c r="J38" s="20" t="s">
        <v>477</v>
      </c>
      <c r="K38" s="20" t="s">
        <v>385</v>
      </c>
      <c r="L38" s="1" t="s">
        <v>20</v>
      </c>
      <c r="M38" s="1" t="s">
        <v>22</v>
      </c>
    </row>
    <row r="39" spans="1:13" ht="15" customHeight="1" x14ac:dyDescent="0.2">
      <c r="A39" s="1">
        <v>80</v>
      </c>
      <c r="B39" s="6" t="s">
        <v>171</v>
      </c>
      <c r="C39" s="6" t="s">
        <v>155</v>
      </c>
      <c r="D39" s="6" t="s">
        <v>159</v>
      </c>
      <c r="E39" s="18" t="s">
        <v>220</v>
      </c>
      <c r="F39" s="8">
        <v>1</v>
      </c>
      <c r="G39" s="17" t="str">
        <f t="shared" si="2"/>
        <v xml:space="preserve">Χρύσανθος </v>
      </c>
      <c r="H39" s="17" t="str">
        <f t="shared" si="3"/>
        <v>Μπιλιούρης</v>
      </c>
      <c r="I39" s="1" t="s">
        <v>23</v>
      </c>
      <c r="J39" s="20" t="s">
        <v>462</v>
      </c>
      <c r="K39" s="20" t="s">
        <v>386</v>
      </c>
      <c r="L39" s="1" t="s">
        <v>31</v>
      </c>
      <c r="M39" s="1" t="s">
        <v>30</v>
      </c>
    </row>
    <row r="40" spans="1:13" ht="15" customHeight="1" x14ac:dyDescent="0.2">
      <c r="A40" s="1">
        <v>85</v>
      </c>
      <c r="B40" s="6" t="s">
        <v>171</v>
      </c>
      <c r="C40" s="6" t="s">
        <v>155</v>
      </c>
      <c r="D40" s="6" t="s">
        <v>159</v>
      </c>
      <c r="E40" s="18" t="s">
        <v>221</v>
      </c>
      <c r="F40" s="8">
        <v>1</v>
      </c>
      <c r="G40" s="17" t="str">
        <f t="shared" si="2"/>
        <v xml:space="preserve">Κωνσταντίνος </v>
      </c>
      <c r="H40" s="17" t="str">
        <f t="shared" si="3"/>
        <v>Χατζηεμμανουήλ</v>
      </c>
      <c r="I40" s="1" t="s">
        <v>24</v>
      </c>
      <c r="J40" s="20" t="s">
        <v>464</v>
      </c>
      <c r="K40" s="20" t="s">
        <v>387</v>
      </c>
      <c r="L40" s="1" t="s">
        <v>21</v>
      </c>
      <c r="M40" s="1" t="s">
        <v>10</v>
      </c>
    </row>
    <row r="41" spans="1:13" ht="15" customHeight="1" x14ac:dyDescent="0.2">
      <c r="A41" s="1">
        <v>90</v>
      </c>
      <c r="B41" s="6" t="s">
        <v>171</v>
      </c>
      <c r="C41" s="6" t="s">
        <v>155</v>
      </c>
      <c r="D41" s="6" t="s">
        <v>159</v>
      </c>
      <c r="E41" s="18" t="s">
        <v>222</v>
      </c>
      <c r="F41" s="8">
        <v>1</v>
      </c>
      <c r="G41" s="17" t="str">
        <f t="shared" si="2"/>
        <v xml:space="preserve">Κωνσταντίνος </v>
      </c>
      <c r="H41" s="17" t="str">
        <f t="shared" si="3"/>
        <v>Χατζηεμμανουήλ</v>
      </c>
      <c r="I41" s="1" t="s">
        <v>24</v>
      </c>
      <c r="J41" s="20" t="s">
        <v>464</v>
      </c>
      <c r="K41" s="20" t="s">
        <v>388</v>
      </c>
      <c r="L41" s="1" t="s">
        <v>11</v>
      </c>
      <c r="M41" s="1" t="s">
        <v>10</v>
      </c>
    </row>
    <row r="42" spans="1:13" ht="15" customHeight="1" x14ac:dyDescent="0.2">
      <c r="A42" s="1">
        <v>95</v>
      </c>
      <c r="B42" s="6" t="s">
        <v>171</v>
      </c>
      <c r="C42" s="6" t="s">
        <v>155</v>
      </c>
      <c r="D42" s="6" t="s">
        <v>159</v>
      </c>
      <c r="E42" s="19" t="s">
        <v>223</v>
      </c>
      <c r="F42" s="8">
        <v>1</v>
      </c>
      <c r="G42" s="17" t="str">
        <f t="shared" si="2"/>
        <v xml:space="preserve">Κωνσταντίνος </v>
      </c>
      <c r="H42" s="17" t="str">
        <f t="shared" si="3"/>
        <v>Χατζηεμμανουήλ</v>
      </c>
      <c r="I42" s="1" t="s">
        <v>24</v>
      </c>
      <c r="J42" s="20" t="s">
        <v>464</v>
      </c>
      <c r="K42" s="20" t="s">
        <v>389</v>
      </c>
      <c r="L42" s="1" t="s">
        <v>11</v>
      </c>
      <c r="M42" s="1" t="s">
        <v>30</v>
      </c>
    </row>
    <row r="43" spans="1:13" ht="15" customHeight="1" x14ac:dyDescent="0.2">
      <c r="A43" s="1">
        <v>35</v>
      </c>
      <c r="B43" s="6" t="s">
        <v>171</v>
      </c>
      <c r="C43" s="6" t="s">
        <v>160</v>
      </c>
      <c r="D43" s="6" t="s">
        <v>159</v>
      </c>
      <c r="E43" s="18" t="s">
        <v>166</v>
      </c>
      <c r="F43" s="8">
        <v>1</v>
      </c>
      <c r="G43" s="17" t="str">
        <f t="shared" si="2"/>
        <v xml:space="preserve">Αριάδνη </v>
      </c>
      <c r="H43" s="17" t="str">
        <f t="shared" si="3"/>
        <v>Δάδα</v>
      </c>
      <c r="I43" s="1" t="s">
        <v>80</v>
      </c>
      <c r="J43" s="20" t="s">
        <v>478</v>
      </c>
      <c r="K43" s="20" t="s">
        <v>390</v>
      </c>
      <c r="L43" s="1" t="s">
        <v>62</v>
      </c>
      <c r="M43" s="1" t="s">
        <v>26</v>
      </c>
    </row>
    <row r="44" spans="1:13" ht="15" customHeight="1" x14ac:dyDescent="0.2">
      <c r="A44" s="1">
        <v>40</v>
      </c>
      <c r="B44" s="6" t="s">
        <v>171</v>
      </c>
      <c r="C44" s="6" t="s">
        <v>160</v>
      </c>
      <c r="D44" s="6" t="s">
        <v>159</v>
      </c>
      <c r="E44" s="18" t="s">
        <v>224</v>
      </c>
      <c r="F44" s="8">
        <v>1</v>
      </c>
      <c r="G44" s="17" t="str">
        <f t="shared" si="2"/>
        <v xml:space="preserve">Παναγιωτίδου </v>
      </c>
      <c r="H44" s="17" t="str">
        <f t="shared" si="3"/>
        <v>Μάιρα</v>
      </c>
      <c r="I44" s="1" t="s">
        <v>118</v>
      </c>
      <c r="J44" s="20" t="s">
        <v>479</v>
      </c>
      <c r="K44" s="20" t="s">
        <v>391</v>
      </c>
      <c r="L44" s="1" t="s">
        <v>46</v>
      </c>
      <c r="M44" s="1" t="s">
        <v>22</v>
      </c>
    </row>
    <row r="45" spans="1:13" ht="15" customHeight="1" x14ac:dyDescent="0.2">
      <c r="A45" s="1">
        <v>45</v>
      </c>
      <c r="B45" s="6" t="s">
        <v>171</v>
      </c>
      <c r="C45" s="6" t="s">
        <v>160</v>
      </c>
      <c r="D45" s="6" t="s">
        <v>159</v>
      </c>
      <c r="E45" s="18" t="s">
        <v>167</v>
      </c>
      <c r="F45" s="8">
        <v>1</v>
      </c>
      <c r="G45" s="17" t="str">
        <f t="shared" si="2"/>
        <v xml:space="preserve">Άννα </v>
      </c>
      <c r="H45" s="17" t="str">
        <f t="shared" si="3"/>
        <v>Δάφτσου</v>
      </c>
      <c r="I45" s="1" t="s">
        <v>47</v>
      </c>
      <c r="J45" s="20" t="s">
        <v>467</v>
      </c>
      <c r="K45" s="20" t="s">
        <v>392</v>
      </c>
      <c r="L45" s="1" t="s">
        <v>11</v>
      </c>
      <c r="M45" s="1" t="s">
        <v>49</v>
      </c>
    </row>
    <row r="46" spans="1:13" ht="15" customHeight="1" x14ac:dyDescent="0.2">
      <c r="A46" s="1">
        <v>50</v>
      </c>
      <c r="B46" s="6" t="s">
        <v>171</v>
      </c>
      <c r="C46" s="6" t="s">
        <v>160</v>
      </c>
      <c r="D46" s="6" t="s">
        <v>159</v>
      </c>
      <c r="E46" s="18" t="s">
        <v>225</v>
      </c>
      <c r="F46" s="8">
        <v>1</v>
      </c>
      <c r="G46" s="17" t="str">
        <f t="shared" si="2"/>
        <v xml:space="preserve">Άννα </v>
      </c>
      <c r="H46" s="17" t="str">
        <f t="shared" si="3"/>
        <v>Δάφτσου</v>
      </c>
      <c r="I46" s="1" t="s">
        <v>47</v>
      </c>
      <c r="J46" s="20" t="s">
        <v>467</v>
      </c>
      <c r="K46" s="20" t="s">
        <v>391</v>
      </c>
      <c r="L46" s="1" t="s">
        <v>46</v>
      </c>
      <c r="M46" s="1" t="s">
        <v>22</v>
      </c>
    </row>
    <row r="47" spans="1:13" ht="15" customHeight="1" x14ac:dyDescent="0.2">
      <c r="A47" s="1">
        <v>55</v>
      </c>
      <c r="B47" s="6" t="s">
        <v>171</v>
      </c>
      <c r="C47" s="6" t="s">
        <v>160</v>
      </c>
      <c r="D47" s="6" t="s">
        <v>159</v>
      </c>
      <c r="E47" s="18" t="s">
        <v>192</v>
      </c>
      <c r="F47" s="8">
        <v>1</v>
      </c>
      <c r="G47" s="17" t="str">
        <f t="shared" si="2"/>
        <v xml:space="preserve">Κρυσταλλία </v>
      </c>
      <c r="H47" s="17" t="str">
        <f t="shared" si="3"/>
        <v>Αθανασοπούλου</v>
      </c>
      <c r="I47" s="1" t="s">
        <v>152</v>
      </c>
      <c r="J47" s="20" t="s">
        <v>480</v>
      </c>
      <c r="K47" s="20" t="s">
        <v>393</v>
      </c>
      <c r="L47" s="1" t="s">
        <v>153</v>
      </c>
      <c r="M47" s="1" t="s">
        <v>134</v>
      </c>
    </row>
    <row r="48" spans="1:13" ht="15" customHeight="1" x14ac:dyDescent="0.2">
      <c r="A48" s="1">
        <v>60</v>
      </c>
      <c r="B48" s="6" t="s">
        <v>171</v>
      </c>
      <c r="C48" s="6" t="s">
        <v>160</v>
      </c>
      <c r="D48" s="6" t="s">
        <v>159</v>
      </c>
      <c r="E48" s="18" t="s">
        <v>168</v>
      </c>
      <c r="F48" s="8">
        <v>1</v>
      </c>
      <c r="G48" s="17" t="str">
        <f t="shared" si="2"/>
        <v xml:space="preserve">Αθηνά </v>
      </c>
      <c r="H48" s="17" t="str">
        <f t="shared" si="3"/>
        <v>Βαϊνά</v>
      </c>
      <c r="I48" s="1" t="s">
        <v>76</v>
      </c>
      <c r="J48" s="20" t="s">
        <v>481</v>
      </c>
      <c r="K48" s="20" t="s">
        <v>385</v>
      </c>
      <c r="L48" s="1" t="s">
        <v>20</v>
      </c>
      <c r="M48" s="1" t="s">
        <v>22</v>
      </c>
    </row>
    <row r="49" spans="1:13" ht="15" customHeight="1" x14ac:dyDescent="0.2">
      <c r="A49" s="1">
        <v>80</v>
      </c>
      <c r="B49" s="6" t="s">
        <v>171</v>
      </c>
      <c r="C49" s="6" t="s">
        <v>160</v>
      </c>
      <c r="D49" s="6" t="s">
        <v>159</v>
      </c>
      <c r="E49" s="18" t="s">
        <v>226</v>
      </c>
      <c r="F49" s="8">
        <v>1</v>
      </c>
      <c r="G49" s="17" t="str">
        <f t="shared" si="2"/>
        <v xml:space="preserve">Σμαράγδα </v>
      </c>
      <c r="H49" s="17" t="str">
        <f t="shared" si="3"/>
        <v>Μανδύλα</v>
      </c>
      <c r="I49" s="1" t="s">
        <v>112</v>
      </c>
      <c r="J49" s="20" t="s">
        <v>482</v>
      </c>
      <c r="K49" s="20" t="s">
        <v>385</v>
      </c>
      <c r="L49" s="1" t="s">
        <v>20</v>
      </c>
      <c r="M49" s="1" t="s">
        <v>22</v>
      </c>
    </row>
    <row r="50" spans="1:13" ht="15" customHeight="1" x14ac:dyDescent="0.2">
      <c r="A50" s="1">
        <v>35</v>
      </c>
      <c r="B50" s="6" t="s">
        <v>172</v>
      </c>
      <c r="C50" s="6" t="s">
        <v>155</v>
      </c>
      <c r="D50" s="6" t="s">
        <v>159</v>
      </c>
      <c r="E50" s="19" t="s">
        <v>227</v>
      </c>
      <c r="F50" s="8">
        <v>1</v>
      </c>
      <c r="G50" s="17" t="str">
        <f t="shared" si="2"/>
        <v xml:space="preserve">Περικλής </v>
      </c>
      <c r="H50" s="17" t="str">
        <f t="shared" si="3"/>
        <v>Ιακωβάκης</v>
      </c>
      <c r="I50" s="1" t="s">
        <v>35</v>
      </c>
      <c r="J50" s="20" t="s">
        <v>483</v>
      </c>
      <c r="K50" s="20" t="s">
        <v>394</v>
      </c>
      <c r="L50" s="1" t="s">
        <v>62</v>
      </c>
      <c r="M50" s="1" t="s">
        <v>26</v>
      </c>
    </row>
    <row r="51" spans="1:13" ht="15" customHeight="1" x14ac:dyDescent="0.2">
      <c r="A51" s="1">
        <v>40</v>
      </c>
      <c r="B51" s="6" t="s">
        <v>172</v>
      </c>
      <c r="C51" s="6" t="s">
        <v>155</v>
      </c>
      <c r="D51" s="6" t="s">
        <v>159</v>
      </c>
      <c r="E51" s="19" t="s">
        <v>228</v>
      </c>
      <c r="F51" s="8">
        <v>1</v>
      </c>
      <c r="G51" s="17" t="str">
        <f t="shared" si="2"/>
        <v xml:space="preserve">Σπήλιος </v>
      </c>
      <c r="H51" s="17" t="str">
        <f t="shared" si="3"/>
        <v>Ζαχαρόπουλος</v>
      </c>
      <c r="I51" s="1" t="s">
        <v>94</v>
      </c>
      <c r="J51" s="20" t="s">
        <v>484</v>
      </c>
      <c r="K51" s="8" t="s">
        <v>395</v>
      </c>
      <c r="L51" s="1" t="s">
        <v>62</v>
      </c>
      <c r="M51" s="1" t="s">
        <v>93</v>
      </c>
    </row>
    <row r="52" spans="1:13" ht="15" customHeight="1" x14ac:dyDescent="0.2">
      <c r="A52" s="1">
        <v>45</v>
      </c>
      <c r="B52" s="6" t="s">
        <v>172</v>
      </c>
      <c r="C52" s="6" t="s">
        <v>155</v>
      </c>
      <c r="D52" s="6" t="s">
        <v>159</v>
      </c>
      <c r="E52" s="18" t="s">
        <v>229</v>
      </c>
      <c r="F52" s="8">
        <v>1</v>
      </c>
      <c r="G52" s="17" t="str">
        <f t="shared" si="2"/>
        <v xml:space="preserve">Αντώνιος </v>
      </c>
      <c r="H52" s="17" t="str">
        <f t="shared" si="3"/>
        <v>Καταντωνάκης</v>
      </c>
      <c r="I52" s="1" t="s">
        <v>123</v>
      </c>
      <c r="J52" s="20" t="s">
        <v>475</v>
      </c>
      <c r="K52" s="20" t="s">
        <v>396</v>
      </c>
      <c r="L52" s="1" t="s">
        <v>124</v>
      </c>
      <c r="M52" s="1" t="s">
        <v>128</v>
      </c>
    </row>
    <row r="53" spans="1:13" ht="15" customHeight="1" x14ac:dyDescent="0.2">
      <c r="A53" s="1">
        <v>50</v>
      </c>
      <c r="B53" s="6" t="s">
        <v>172</v>
      </c>
      <c r="C53" s="6" t="s">
        <v>155</v>
      </c>
      <c r="D53" s="6" t="s">
        <v>159</v>
      </c>
      <c r="E53" s="18" t="s">
        <v>230</v>
      </c>
      <c r="F53" s="8">
        <v>1</v>
      </c>
      <c r="G53" s="17" t="str">
        <f t="shared" si="2"/>
        <v xml:space="preserve">Διονύσιος </v>
      </c>
      <c r="H53" s="17" t="str">
        <f t="shared" si="3"/>
        <v>Κοντονής</v>
      </c>
      <c r="I53" s="1" t="s">
        <v>27</v>
      </c>
      <c r="J53" s="20" t="s">
        <v>485</v>
      </c>
      <c r="K53" s="22" t="s">
        <v>397</v>
      </c>
      <c r="L53" s="1" t="s">
        <v>11</v>
      </c>
      <c r="M53" s="1" t="s">
        <v>10</v>
      </c>
    </row>
    <row r="54" spans="1:13" ht="15" customHeight="1" x14ac:dyDescent="0.2">
      <c r="A54" s="1">
        <v>55</v>
      </c>
      <c r="B54" s="6" t="s">
        <v>172</v>
      </c>
      <c r="C54" s="6" t="s">
        <v>155</v>
      </c>
      <c r="D54" s="6" t="s">
        <v>159</v>
      </c>
      <c r="E54" s="18" t="s">
        <v>231</v>
      </c>
      <c r="F54" s="8">
        <v>1</v>
      </c>
      <c r="G54" s="17" t="str">
        <f t="shared" si="2"/>
        <v xml:space="preserve">Νικόλαος </v>
      </c>
      <c r="H54" s="17" t="str">
        <f t="shared" si="3"/>
        <v>Κόκος</v>
      </c>
      <c r="I54" s="1" t="s">
        <v>133</v>
      </c>
      <c r="J54" s="20" t="s">
        <v>476</v>
      </c>
      <c r="K54" s="20" t="s">
        <v>398</v>
      </c>
      <c r="L54" s="1" t="s">
        <v>20</v>
      </c>
      <c r="M54" s="1" t="s">
        <v>134</v>
      </c>
    </row>
    <row r="55" spans="1:13" ht="15" customHeight="1" x14ac:dyDescent="0.2">
      <c r="A55" s="1">
        <v>60</v>
      </c>
      <c r="B55" s="6" t="s">
        <v>172</v>
      </c>
      <c r="C55" s="6" t="s">
        <v>155</v>
      </c>
      <c r="D55" s="6" t="s">
        <v>159</v>
      </c>
      <c r="E55" s="18" t="s">
        <v>178</v>
      </c>
      <c r="F55" s="8">
        <v>1</v>
      </c>
      <c r="G55" s="17" t="str">
        <f t="shared" si="2"/>
        <v xml:space="preserve">Κωνσταντίνος </v>
      </c>
      <c r="H55" s="17" t="str">
        <f t="shared" si="3"/>
        <v>Κομματάς</v>
      </c>
      <c r="I55" s="1" t="s">
        <v>34</v>
      </c>
      <c r="J55" s="20" t="s">
        <v>486</v>
      </c>
      <c r="K55" s="20" t="s">
        <v>374</v>
      </c>
      <c r="L55" s="1" t="s">
        <v>20</v>
      </c>
      <c r="M55" s="1" t="s">
        <v>22</v>
      </c>
    </row>
    <row r="56" spans="1:13" ht="15" customHeight="1" x14ac:dyDescent="0.2">
      <c r="A56" s="1">
        <v>65</v>
      </c>
      <c r="B56" s="6" t="s">
        <v>172</v>
      </c>
      <c r="C56" s="6" t="s">
        <v>155</v>
      </c>
      <c r="D56" s="6" t="s">
        <v>159</v>
      </c>
      <c r="E56" s="18" t="s">
        <v>179</v>
      </c>
      <c r="F56" s="8">
        <v>1</v>
      </c>
      <c r="G56" s="17" t="str">
        <f t="shared" si="2"/>
        <v xml:space="preserve">Κωνσταντίνος </v>
      </c>
      <c r="H56" s="17" t="str">
        <f t="shared" si="3"/>
        <v>Κομματάς</v>
      </c>
      <c r="I56" s="1" t="s">
        <v>34</v>
      </c>
      <c r="J56" s="20" t="s">
        <v>486</v>
      </c>
      <c r="K56" s="20" t="s">
        <v>399</v>
      </c>
      <c r="L56" s="1" t="s">
        <v>117</v>
      </c>
      <c r="M56" s="1" t="s">
        <v>10</v>
      </c>
    </row>
    <row r="57" spans="1:13" ht="15" customHeight="1" x14ac:dyDescent="0.2">
      <c r="A57" s="1">
        <v>70</v>
      </c>
      <c r="B57" s="6" t="s">
        <v>172</v>
      </c>
      <c r="C57" s="6" t="s">
        <v>155</v>
      </c>
      <c r="D57" s="6" t="s">
        <v>159</v>
      </c>
      <c r="E57" s="18" t="s">
        <v>180</v>
      </c>
      <c r="F57" s="8">
        <v>1</v>
      </c>
      <c r="G57" s="17" t="str">
        <f t="shared" si="2"/>
        <v xml:space="preserve">Παντελής </v>
      </c>
      <c r="H57" s="17" t="str">
        <f t="shared" si="3"/>
        <v>Χρυσοχός</v>
      </c>
      <c r="I57" s="1" t="s">
        <v>115</v>
      </c>
      <c r="J57" s="20" t="s">
        <v>487</v>
      </c>
      <c r="K57" s="20" t="s">
        <v>399</v>
      </c>
      <c r="L57" s="1" t="s">
        <v>117</v>
      </c>
      <c r="M57" s="1" t="s">
        <v>22</v>
      </c>
    </row>
    <row r="58" spans="1:13" ht="15" customHeight="1" x14ac:dyDescent="0.2">
      <c r="A58" s="1">
        <v>75</v>
      </c>
      <c r="B58" s="6" t="s">
        <v>172</v>
      </c>
      <c r="C58" s="6" t="s">
        <v>155</v>
      </c>
      <c r="D58" s="6" t="s">
        <v>159</v>
      </c>
      <c r="E58" s="18" t="s">
        <v>181</v>
      </c>
      <c r="F58" s="8">
        <v>1</v>
      </c>
      <c r="G58" s="17" t="str">
        <f t="shared" si="2"/>
        <v xml:space="preserve">Ιωάννης </v>
      </c>
      <c r="H58" s="17" t="str">
        <f t="shared" si="3"/>
        <v>Παππάς</v>
      </c>
      <c r="I58" s="1" t="s">
        <v>96</v>
      </c>
      <c r="K58" s="8" t="s">
        <v>362</v>
      </c>
      <c r="L58" s="1" t="s">
        <v>62</v>
      </c>
      <c r="M58" s="1" t="s">
        <v>93</v>
      </c>
    </row>
    <row r="59" spans="1:13" ht="15" customHeight="1" x14ac:dyDescent="0.2">
      <c r="A59" s="1">
        <v>80</v>
      </c>
      <c r="B59" s="6" t="s">
        <v>172</v>
      </c>
      <c r="C59" s="6" t="s">
        <v>155</v>
      </c>
      <c r="D59" s="6" t="s">
        <v>159</v>
      </c>
      <c r="E59" s="18" t="s">
        <v>182</v>
      </c>
      <c r="F59" s="8">
        <v>1</v>
      </c>
      <c r="G59" s="17" t="str">
        <f t="shared" si="2"/>
        <v xml:space="preserve">Χρύσανθος </v>
      </c>
      <c r="H59" s="17" t="str">
        <f t="shared" si="3"/>
        <v>Μπιλιούρης</v>
      </c>
      <c r="I59" s="1" t="s">
        <v>23</v>
      </c>
      <c r="J59" s="20" t="s">
        <v>462</v>
      </c>
      <c r="K59" s="8" t="s">
        <v>400</v>
      </c>
      <c r="L59" s="1" t="s">
        <v>31</v>
      </c>
      <c r="M59" s="1" t="s">
        <v>30</v>
      </c>
    </row>
    <row r="60" spans="1:13" ht="15" customHeight="1" x14ac:dyDescent="0.2">
      <c r="A60" s="1">
        <v>85</v>
      </c>
      <c r="B60" s="6" t="s">
        <v>172</v>
      </c>
      <c r="C60" s="6" t="s">
        <v>155</v>
      </c>
      <c r="D60" s="6" t="s">
        <v>159</v>
      </c>
      <c r="E60" s="18" t="s">
        <v>183</v>
      </c>
      <c r="F60" s="8">
        <v>1</v>
      </c>
      <c r="G60" s="17" t="str">
        <f t="shared" si="2"/>
        <v xml:space="preserve">Κωνσταντίνος </v>
      </c>
      <c r="H60" s="17" t="str">
        <f t="shared" si="3"/>
        <v>Χατζηεμμανουήλ</v>
      </c>
      <c r="I60" s="1" t="s">
        <v>24</v>
      </c>
      <c r="J60" s="20" t="s">
        <v>464</v>
      </c>
      <c r="K60" s="20" t="s">
        <v>401</v>
      </c>
      <c r="L60" s="1" t="s">
        <v>21</v>
      </c>
      <c r="M60" s="1" t="s">
        <v>10</v>
      </c>
    </row>
    <row r="61" spans="1:13" ht="15" customHeight="1" x14ac:dyDescent="0.2">
      <c r="A61" s="1">
        <v>90</v>
      </c>
      <c r="B61" s="6" t="s">
        <v>172</v>
      </c>
      <c r="C61" s="6" t="s">
        <v>155</v>
      </c>
      <c r="D61" s="6" t="s">
        <v>159</v>
      </c>
      <c r="E61" s="18" t="s">
        <v>184</v>
      </c>
      <c r="F61" s="8">
        <v>1</v>
      </c>
      <c r="G61" s="17" t="str">
        <f t="shared" si="2"/>
        <v xml:space="preserve">Κωνσταντίνος </v>
      </c>
      <c r="H61" s="17" t="str">
        <f t="shared" si="3"/>
        <v>Χατζηεμμανουήλ</v>
      </c>
      <c r="I61" s="1" t="s">
        <v>24</v>
      </c>
      <c r="J61" s="20" t="s">
        <v>464</v>
      </c>
      <c r="K61" s="20" t="s">
        <v>402</v>
      </c>
      <c r="L61" s="1" t="s">
        <v>11</v>
      </c>
      <c r="M61" s="1" t="s">
        <v>10</v>
      </c>
    </row>
    <row r="62" spans="1:13" ht="15" customHeight="1" x14ac:dyDescent="0.2">
      <c r="A62" s="1">
        <v>95</v>
      </c>
      <c r="B62" s="6" t="s">
        <v>172</v>
      </c>
      <c r="C62" s="6" t="s">
        <v>155</v>
      </c>
      <c r="D62" s="6" t="s">
        <v>159</v>
      </c>
      <c r="E62" s="18" t="s">
        <v>185</v>
      </c>
      <c r="F62" s="8">
        <v>1</v>
      </c>
      <c r="G62" s="17" t="str">
        <f t="shared" si="2"/>
        <v xml:space="preserve">Κωνσταντίνος </v>
      </c>
      <c r="H62" s="17" t="str">
        <f t="shared" si="3"/>
        <v>Χατζηεμμανουήλ</v>
      </c>
      <c r="I62" s="1" t="s">
        <v>24</v>
      </c>
      <c r="J62" s="20" t="s">
        <v>464</v>
      </c>
      <c r="K62" s="20" t="s">
        <v>373</v>
      </c>
      <c r="L62" s="1" t="s">
        <v>11</v>
      </c>
      <c r="M62" s="1" t="s">
        <v>30</v>
      </c>
    </row>
    <row r="63" spans="1:13" ht="15" customHeight="1" x14ac:dyDescent="0.2">
      <c r="A63" s="1">
        <v>35</v>
      </c>
      <c r="B63" s="6" t="s">
        <v>172</v>
      </c>
      <c r="C63" s="6" t="s">
        <v>160</v>
      </c>
      <c r="D63" s="6" t="s">
        <v>159</v>
      </c>
      <c r="E63" s="18" t="s">
        <v>232</v>
      </c>
      <c r="F63" s="8">
        <v>1</v>
      </c>
      <c r="G63" s="17" t="str">
        <f t="shared" si="2"/>
        <v xml:space="preserve">Ανδριάννα </v>
      </c>
      <c r="H63" s="17" t="str">
        <f t="shared" si="3"/>
        <v>Φέρρα</v>
      </c>
      <c r="I63" s="1" t="s">
        <v>334</v>
      </c>
      <c r="J63" s="20" t="s">
        <v>488</v>
      </c>
      <c r="K63" s="20" t="s">
        <v>403</v>
      </c>
      <c r="L63" s="1" t="s">
        <v>46</v>
      </c>
      <c r="M63" s="1" t="s">
        <v>122</v>
      </c>
    </row>
    <row r="64" spans="1:13" ht="15" customHeight="1" x14ac:dyDescent="0.2">
      <c r="A64" s="1">
        <v>40</v>
      </c>
      <c r="B64" s="6" t="s">
        <v>172</v>
      </c>
      <c r="C64" s="6" t="s">
        <v>160</v>
      </c>
      <c r="D64" s="6" t="s">
        <v>159</v>
      </c>
      <c r="E64" s="18" t="s">
        <v>233</v>
      </c>
      <c r="F64" s="8">
        <v>1</v>
      </c>
      <c r="G64" s="17" t="str">
        <f t="shared" si="2"/>
        <v xml:space="preserve">Αναστασία </v>
      </c>
      <c r="H64" s="17" t="str">
        <f t="shared" si="3"/>
        <v>Θωμάιδου</v>
      </c>
      <c r="I64" s="1" t="s">
        <v>66</v>
      </c>
      <c r="J64" s="20" t="s">
        <v>489</v>
      </c>
      <c r="K64" s="20" t="s">
        <v>404</v>
      </c>
      <c r="L64" s="1" t="s">
        <v>62</v>
      </c>
      <c r="M64" s="1" t="s">
        <v>26</v>
      </c>
    </row>
    <row r="65" spans="1:13" ht="15" customHeight="1" x14ac:dyDescent="0.2">
      <c r="A65" s="1">
        <v>45</v>
      </c>
      <c r="B65" s="6" t="s">
        <v>172</v>
      </c>
      <c r="C65" s="6" t="s">
        <v>160</v>
      </c>
      <c r="D65" s="6" t="s">
        <v>159</v>
      </c>
      <c r="E65" s="18" t="s">
        <v>233</v>
      </c>
      <c r="F65" s="8">
        <v>1</v>
      </c>
      <c r="G65" s="17" t="str">
        <f t="shared" si="2"/>
        <v xml:space="preserve">Αναστασία </v>
      </c>
      <c r="H65" s="17" t="str">
        <f t="shared" si="3"/>
        <v>Θωμάιδου</v>
      </c>
      <c r="I65" s="1" t="s">
        <v>66</v>
      </c>
      <c r="J65" s="20" t="s">
        <v>489</v>
      </c>
      <c r="K65" s="20" t="s">
        <v>405</v>
      </c>
      <c r="L65" s="1" t="s">
        <v>62</v>
      </c>
      <c r="M65" s="1" t="s">
        <v>26</v>
      </c>
    </row>
    <row r="66" spans="1:13" ht="15" customHeight="1" x14ac:dyDescent="0.2">
      <c r="A66" s="1">
        <v>50</v>
      </c>
      <c r="B66" s="6" t="s">
        <v>172</v>
      </c>
      <c r="C66" s="6" t="s">
        <v>160</v>
      </c>
      <c r="D66" s="6" t="s">
        <v>159</v>
      </c>
      <c r="E66" s="18" t="s">
        <v>234</v>
      </c>
      <c r="F66" s="8">
        <v>1</v>
      </c>
      <c r="G66" s="17" t="str">
        <f t="shared" ref="G66:G97" si="4">LEFT(I66,FIND(" ",I66))</f>
        <v xml:space="preserve">Άννα </v>
      </c>
      <c r="H66" s="17" t="str">
        <f t="shared" ref="H66:H97" si="5">MID(I66,FIND(" ",I66)+1,LEN(I66)-LEN(G66))</f>
        <v>Δάφτσου</v>
      </c>
      <c r="I66" s="1" t="s">
        <v>47</v>
      </c>
      <c r="J66" s="20" t="s">
        <v>467</v>
      </c>
      <c r="K66" s="20" t="s">
        <v>406</v>
      </c>
      <c r="L66" s="1" t="s">
        <v>46</v>
      </c>
      <c r="M66" s="1" t="s">
        <v>22</v>
      </c>
    </row>
    <row r="67" spans="1:13" ht="15" customHeight="1" x14ac:dyDescent="0.2">
      <c r="A67" s="1">
        <v>55</v>
      </c>
      <c r="B67" s="6" t="s">
        <v>172</v>
      </c>
      <c r="C67" s="6" t="s">
        <v>160</v>
      </c>
      <c r="D67" s="6" t="s">
        <v>159</v>
      </c>
      <c r="E67" s="18" t="s">
        <v>235</v>
      </c>
      <c r="F67" s="8">
        <v>1</v>
      </c>
      <c r="G67" s="17" t="str">
        <f t="shared" si="4"/>
        <v xml:space="preserve">Κωνσταντίνα </v>
      </c>
      <c r="H67" s="17" t="str">
        <f t="shared" si="5"/>
        <v>Παρλαμάνη</v>
      </c>
      <c r="I67" s="1" t="s">
        <v>81</v>
      </c>
      <c r="J67" s="20" t="s">
        <v>490</v>
      </c>
      <c r="K67" s="20" t="s">
        <v>385</v>
      </c>
      <c r="L67" s="1" t="s">
        <v>20</v>
      </c>
      <c r="M67" s="1" t="s">
        <v>22</v>
      </c>
    </row>
    <row r="68" spans="1:13" ht="15" customHeight="1" x14ac:dyDescent="0.2">
      <c r="A68" s="1">
        <v>60</v>
      </c>
      <c r="B68" s="6" t="s">
        <v>172</v>
      </c>
      <c r="C68" s="6" t="s">
        <v>160</v>
      </c>
      <c r="D68" s="6" t="s">
        <v>159</v>
      </c>
      <c r="E68" s="18" t="s">
        <v>236</v>
      </c>
      <c r="F68" s="8">
        <v>1</v>
      </c>
      <c r="G68" s="17" t="str">
        <f t="shared" si="4"/>
        <v xml:space="preserve">Σοφία </v>
      </c>
      <c r="H68" s="17" t="str">
        <f t="shared" si="5"/>
        <v>Κατάκη</v>
      </c>
      <c r="I68" s="1" t="s">
        <v>82</v>
      </c>
      <c r="K68" s="8" t="s">
        <v>407</v>
      </c>
    </row>
    <row r="69" spans="1:13" ht="15" customHeight="1" x14ac:dyDescent="0.2">
      <c r="A69" s="1">
        <v>35</v>
      </c>
      <c r="B69" s="6" t="s">
        <v>173</v>
      </c>
      <c r="C69" s="6" t="s">
        <v>155</v>
      </c>
      <c r="D69" s="6" t="s">
        <v>159</v>
      </c>
      <c r="E69" s="18" t="s">
        <v>237</v>
      </c>
      <c r="F69" s="8">
        <v>1</v>
      </c>
      <c r="G69" s="17" t="str">
        <f t="shared" si="4"/>
        <v xml:space="preserve">Νικόλαος </v>
      </c>
      <c r="H69" s="17" t="str">
        <f t="shared" si="5"/>
        <v>Τσιάκουλας</v>
      </c>
      <c r="I69" s="1" t="s">
        <v>36</v>
      </c>
      <c r="J69" s="20" t="s">
        <v>491</v>
      </c>
      <c r="K69" s="20" t="s">
        <v>408</v>
      </c>
      <c r="L69" s="1" t="s">
        <v>62</v>
      </c>
      <c r="M69" s="1" t="s">
        <v>92</v>
      </c>
    </row>
    <row r="70" spans="1:13" ht="15" customHeight="1" x14ac:dyDescent="0.2">
      <c r="A70" s="1">
        <v>40</v>
      </c>
      <c r="B70" s="6" t="s">
        <v>173</v>
      </c>
      <c r="C70" s="6" t="s">
        <v>155</v>
      </c>
      <c r="D70" s="6" t="s">
        <v>159</v>
      </c>
      <c r="E70" s="18" t="s">
        <v>238</v>
      </c>
      <c r="F70" s="8">
        <v>1</v>
      </c>
      <c r="G70" s="17" t="str">
        <f t="shared" si="4"/>
        <v xml:space="preserve">Ιούλιος </v>
      </c>
      <c r="H70" s="17" t="str">
        <f t="shared" si="5"/>
        <v>Αρμάος</v>
      </c>
      <c r="I70" s="1" t="s">
        <v>37</v>
      </c>
      <c r="J70" s="20" t="s">
        <v>492</v>
      </c>
      <c r="K70" s="22" t="s">
        <v>409</v>
      </c>
      <c r="L70" s="1" t="s">
        <v>62</v>
      </c>
      <c r="M70" s="1" t="s">
        <v>92</v>
      </c>
    </row>
    <row r="71" spans="1:13" ht="15" customHeight="1" x14ac:dyDescent="0.2">
      <c r="A71" s="1">
        <v>45</v>
      </c>
      <c r="B71" s="6" t="s">
        <v>173</v>
      </c>
      <c r="C71" s="6" t="s">
        <v>155</v>
      </c>
      <c r="D71" s="6" t="s">
        <v>159</v>
      </c>
      <c r="E71" s="18" t="s">
        <v>239</v>
      </c>
      <c r="F71" s="8">
        <v>1</v>
      </c>
      <c r="G71" s="17" t="str">
        <f t="shared" si="4"/>
        <v xml:space="preserve">Ιούλιος </v>
      </c>
      <c r="H71" s="17" t="str">
        <f t="shared" si="5"/>
        <v>Αρμάος</v>
      </c>
      <c r="I71" s="1" t="s">
        <v>37</v>
      </c>
      <c r="J71" s="20" t="s">
        <v>492</v>
      </c>
      <c r="K71" s="20" t="s">
        <v>410</v>
      </c>
      <c r="L71" s="1" t="s">
        <v>62</v>
      </c>
      <c r="M71" s="1" t="s">
        <v>92</v>
      </c>
    </row>
    <row r="72" spans="1:13" ht="15" customHeight="1" x14ac:dyDescent="0.2">
      <c r="A72" s="1">
        <v>50</v>
      </c>
      <c r="B72" s="6" t="s">
        <v>173</v>
      </c>
      <c r="C72" s="6" t="s">
        <v>155</v>
      </c>
      <c r="D72" s="6" t="s">
        <v>159</v>
      </c>
      <c r="E72" s="18" t="s">
        <v>240</v>
      </c>
      <c r="F72" s="8">
        <v>1</v>
      </c>
      <c r="G72" s="17" t="str">
        <f t="shared" si="4"/>
        <v xml:space="preserve">Χαράλαμπος </v>
      </c>
      <c r="H72" s="17" t="str">
        <f t="shared" si="5"/>
        <v>Κωνσταντινίδης</v>
      </c>
      <c r="I72" s="1" t="s">
        <v>38</v>
      </c>
      <c r="J72" s="20" t="s">
        <v>493</v>
      </c>
      <c r="K72" s="20" t="s">
        <v>358</v>
      </c>
      <c r="L72" s="1" t="s">
        <v>132</v>
      </c>
      <c r="M72" s="1" t="s">
        <v>134</v>
      </c>
    </row>
    <row r="73" spans="1:13" ht="15" customHeight="1" x14ac:dyDescent="0.2">
      <c r="A73" s="1">
        <v>55</v>
      </c>
      <c r="B73" s="6" t="s">
        <v>173</v>
      </c>
      <c r="C73" s="6" t="s">
        <v>155</v>
      </c>
      <c r="D73" s="6" t="s">
        <v>159</v>
      </c>
      <c r="E73" s="18" t="s">
        <v>241</v>
      </c>
      <c r="F73" s="8">
        <v>1</v>
      </c>
      <c r="G73" s="17" t="str">
        <f t="shared" si="4"/>
        <v xml:space="preserve">Αντώνιος </v>
      </c>
      <c r="H73" s="17" t="str">
        <f t="shared" si="5"/>
        <v>Μόρφης</v>
      </c>
      <c r="I73" s="1" t="s">
        <v>32</v>
      </c>
      <c r="J73" s="20" t="s">
        <v>494</v>
      </c>
      <c r="K73" s="8" t="s">
        <v>375</v>
      </c>
      <c r="L73" s="1" t="s">
        <v>33</v>
      </c>
      <c r="M73" s="1" t="s">
        <v>10</v>
      </c>
    </row>
    <row r="74" spans="1:13" ht="15" customHeight="1" x14ac:dyDescent="0.2">
      <c r="A74" s="1">
        <v>60</v>
      </c>
      <c r="B74" s="6" t="s">
        <v>173</v>
      </c>
      <c r="C74" s="6" t="s">
        <v>155</v>
      </c>
      <c r="D74" s="6" t="s">
        <v>159</v>
      </c>
      <c r="E74" s="18" t="s">
        <v>242</v>
      </c>
      <c r="F74" s="8">
        <v>1</v>
      </c>
      <c r="G74" s="17" t="str">
        <f t="shared" si="4"/>
        <v xml:space="preserve">Κωνσταντίνος </v>
      </c>
      <c r="H74" s="17" t="str">
        <f t="shared" si="5"/>
        <v>Κορδώσης</v>
      </c>
      <c r="I74" s="1" t="s">
        <v>95</v>
      </c>
      <c r="J74" s="20" t="s">
        <v>495</v>
      </c>
      <c r="K74" s="8" t="s">
        <v>411</v>
      </c>
      <c r="L74" s="1" t="s">
        <v>63</v>
      </c>
      <c r="M74" s="1" t="s">
        <v>30</v>
      </c>
    </row>
    <row r="75" spans="1:13" ht="15" customHeight="1" x14ac:dyDescent="0.2">
      <c r="A75" s="1">
        <v>65</v>
      </c>
      <c r="B75" s="6" t="s">
        <v>173</v>
      </c>
      <c r="C75" s="6" t="s">
        <v>155</v>
      </c>
      <c r="D75" s="6" t="s">
        <v>159</v>
      </c>
      <c r="E75" s="18" t="s">
        <v>243</v>
      </c>
      <c r="F75" s="8">
        <v>1</v>
      </c>
      <c r="G75" s="17" t="str">
        <f t="shared" si="4"/>
        <v xml:space="preserve">Κωνσταντίνος </v>
      </c>
      <c r="H75" s="17" t="str">
        <f t="shared" si="5"/>
        <v>Κορδώσης</v>
      </c>
      <c r="I75" s="1" t="s">
        <v>95</v>
      </c>
      <c r="J75" s="20" t="s">
        <v>495</v>
      </c>
      <c r="K75" s="20" t="s">
        <v>412</v>
      </c>
      <c r="L75" s="1" t="s">
        <v>46</v>
      </c>
      <c r="M75" s="1" t="s">
        <v>22</v>
      </c>
    </row>
    <row r="76" spans="1:13" ht="15" customHeight="1" x14ac:dyDescent="0.2">
      <c r="A76" s="1">
        <v>70</v>
      </c>
      <c r="B76" s="6" t="s">
        <v>173</v>
      </c>
      <c r="C76" s="6" t="s">
        <v>155</v>
      </c>
      <c r="D76" s="6" t="s">
        <v>159</v>
      </c>
      <c r="E76" s="18" t="s">
        <v>244</v>
      </c>
      <c r="F76" s="8">
        <v>1</v>
      </c>
      <c r="G76" s="17" t="str">
        <f t="shared" si="4"/>
        <v xml:space="preserve">Γεώργιος </v>
      </c>
      <c r="H76" s="17" t="str">
        <f t="shared" si="5"/>
        <v>Θεοδωσίου</v>
      </c>
      <c r="I76" s="1" t="s">
        <v>39</v>
      </c>
      <c r="J76" s="20" t="s">
        <v>496</v>
      </c>
      <c r="K76" s="8" t="s">
        <v>413</v>
      </c>
      <c r="L76" s="1" t="s">
        <v>64</v>
      </c>
      <c r="M76" s="1" t="s">
        <v>10</v>
      </c>
    </row>
    <row r="77" spans="1:13" ht="15" customHeight="1" x14ac:dyDescent="0.2">
      <c r="A77" s="1">
        <v>75</v>
      </c>
      <c r="B77" s="6" t="s">
        <v>173</v>
      </c>
      <c r="C77" s="6" t="s">
        <v>155</v>
      </c>
      <c r="D77" s="6" t="s">
        <v>159</v>
      </c>
      <c r="E77" s="18" t="s">
        <v>245</v>
      </c>
      <c r="F77" s="8">
        <v>1</v>
      </c>
      <c r="G77" s="17" t="str">
        <f t="shared" si="4"/>
        <v xml:space="preserve">Χρύσανθος </v>
      </c>
      <c r="H77" s="17" t="str">
        <f t="shared" si="5"/>
        <v>Μπιλιούρης</v>
      </c>
      <c r="I77" s="1" t="s">
        <v>23</v>
      </c>
      <c r="J77" s="20" t="s">
        <v>462</v>
      </c>
      <c r="K77" s="8" t="s">
        <v>414</v>
      </c>
      <c r="L77" s="1" t="s">
        <v>62</v>
      </c>
      <c r="M77" s="1" t="s">
        <v>93</v>
      </c>
    </row>
    <row r="78" spans="1:13" ht="15" customHeight="1" x14ac:dyDescent="0.2">
      <c r="A78" s="1">
        <v>80</v>
      </c>
      <c r="B78" s="6" t="s">
        <v>173</v>
      </c>
      <c r="C78" s="6" t="s">
        <v>155</v>
      </c>
      <c r="D78" s="6" t="s">
        <v>159</v>
      </c>
      <c r="E78" s="18" t="s">
        <v>246</v>
      </c>
      <c r="F78" s="8">
        <v>1</v>
      </c>
      <c r="G78" s="17" t="str">
        <f t="shared" si="4"/>
        <v xml:space="preserve">Παναγιώτης </v>
      </c>
      <c r="H78" s="17" t="str">
        <f t="shared" si="5"/>
        <v>Γάκης</v>
      </c>
      <c r="I78" s="1" t="s">
        <v>97</v>
      </c>
      <c r="J78" s="20" t="s">
        <v>497</v>
      </c>
      <c r="K78" s="8" t="s">
        <v>407</v>
      </c>
      <c r="L78" s="1" t="s">
        <v>62</v>
      </c>
      <c r="M78" s="1" t="s">
        <v>93</v>
      </c>
    </row>
    <row r="79" spans="1:13" ht="15" customHeight="1" x14ac:dyDescent="0.2">
      <c r="A79" s="1">
        <v>85</v>
      </c>
      <c r="B79" s="6" t="s">
        <v>173</v>
      </c>
      <c r="C79" s="6" t="s">
        <v>155</v>
      </c>
      <c r="D79" s="6" t="s">
        <v>159</v>
      </c>
      <c r="E79" s="18" t="s">
        <v>247</v>
      </c>
      <c r="F79" s="8">
        <v>1</v>
      </c>
      <c r="G79" s="17" t="str">
        <f t="shared" si="4"/>
        <v xml:space="preserve">Κωνσταντίνος </v>
      </c>
      <c r="H79" s="17" t="str">
        <f t="shared" si="5"/>
        <v>Χατζηεμμανουήλ</v>
      </c>
      <c r="I79" s="1" t="s">
        <v>24</v>
      </c>
      <c r="J79" s="20" t="s">
        <v>464</v>
      </c>
      <c r="K79" s="20" t="s">
        <v>415</v>
      </c>
      <c r="L79" s="1" t="s">
        <v>21</v>
      </c>
      <c r="M79" s="1" t="s">
        <v>10</v>
      </c>
    </row>
    <row r="80" spans="1:13" ht="15" customHeight="1" x14ac:dyDescent="0.2">
      <c r="A80" s="1">
        <v>90</v>
      </c>
      <c r="B80" s="6" t="s">
        <v>173</v>
      </c>
      <c r="C80" s="6" t="s">
        <v>155</v>
      </c>
      <c r="D80" s="6" t="s">
        <v>159</v>
      </c>
      <c r="E80" s="18" t="s">
        <v>248</v>
      </c>
      <c r="F80" s="8">
        <v>1</v>
      </c>
      <c r="G80" s="17" t="str">
        <f t="shared" si="4"/>
        <v xml:space="preserve">Παναγιώτης </v>
      </c>
      <c r="H80" s="17" t="str">
        <f t="shared" si="5"/>
        <v>Δούσης</v>
      </c>
      <c r="I80" s="1" t="s">
        <v>44</v>
      </c>
      <c r="J80" s="20" t="s">
        <v>498</v>
      </c>
      <c r="K80" s="20" t="s">
        <v>416</v>
      </c>
      <c r="L80" s="1" t="s">
        <v>11</v>
      </c>
      <c r="M80" s="1" t="s">
        <v>10</v>
      </c>
    </row>
    <row r="81" spans="1:13" ht="15" customHeight="1" x14ac:dyDescent="0.2">
      <c r="A81" s="1">
        <v>95</v>
      </c>
      <c r="B81" s="6" t="s">
        <v>173</v>
      </c>
      <c r="C81" s="6" t="s">
        <v>155</v>
      </c>
      <c r="D81" s="6" t="s">
        <v>159</v>
      </c>
      <c r="E81" s="18" t="s">
        <v>249</v>
      </c>
      <c r="F81" s="8">
        <v>1</v>
      </c>
      <c r="G81" s="17" t="str">
        <f t="shared" si="4"/>
        <v xml:space="preserve">Κωνσταντίνος </v>
      </c>
      <c r="H81" s="17" t="str">
        <f t="shared" si="5"/>
        <v>Χατζηεμμανουήλ</v>
      </c>
      <c r="I81" s="1" t="s">
        <v>24</v>
      </c>
      <c r="J81" s="20" t="s">
        <v>464</v>
      </c>
      <c r="K81" s="20" t="s">
        <v>416</v>
      </c>
      <c r="L81" s="1" t="s">
        <v>11</v>
      </c>
      <c r="M81" s="1" t="s">
        <v>10</v>
      </c>
    </row>
    <row r="82" spans="1:13" ht="15" customHeight="1" x14ac:dyDescent="0.2">
      <c r="A82" s="1">
        <v>35</v>
      </c>
      <c r="B82" s="6" t="s">
        <v>173</v>
      </c>
      <c r="C82" s="6" t="s">
        <v>160</v>
      </c>
      <c r="D82" s="6" t="s">
        <v>159</v>
      </c>
      <c r="E82" s="18" t="s">
        <v>250</v>
      </c>
      <c r="F82" s="8">
        <v>1</v>
      </c>
      <c r="G82" s="17" t="str">
        <f t="shared" si="4"/>
        <v xml:space="preserve">Αναστασία </v>
      </c>
      <c r="H82" s="17" t="str">
        <f t="shared" si="5"/>
        <v>Θωμάιδου</v>
      </c>
      <c r="I82" s="1" t="s">
        <v>66</v>
      </c>
      <c r="J82" s="20" t="s">
        <v>489</v>
      </c>
      <c r="K82" s="20" t="s">
        <v>380</v>
      </c>
      <c r="L82" s="1" t="s">
        <v>62</v>
      </c>
      <c r="M82" s="1" t="s">
        <v>26</v>
      </c>
    </row>
    <row r="83" spans="1:13" ht="15" customHeight="1" x14ac:dyDescent="0.2">
      <c r="A83" s="1">
        <v>40</v>
      </c>
      <c r="B83" s="6" t="s">
        <v>173</v>
      </c>
      <c r="C83" s="6" t="s">
        <v>160</v>
      </c>
      <c r="D83" s="6" t="s">
        <v>159</v>
      </c>
      <c r="E83" s="18" t="s">
        <v>251</v>
      </c>
      <c r="F83" s="8">
        <v>1</v>
      </c>
      <c r="G83" s="17" t="str">
        <f t="shared" si="4"/>
        <v xml:space="preserve">Αναστασία </v>
      </c>
      <c r="H83" s="17" t="str">
        <f t="shared" si="5"/>
        <v>Θωμάιδου</v>
      </c>
      <c r="I83" s="1" t="s">
        <v>66</v>
      </c>
      <c r="J83" s="20" t="s">
        <v>489</v>
      </c>
      <c r="K83" s="20" t="s">
        <v>417</v>
      </c>
      <c r="L83" s="1" t="s">
        <v>62</v>
      </c>
      <c r="M83" s="1" t="s">
        <v>92</v>
      </c>
    </row>
    <row r="84" spans="1:13" ht="15" customHeight="1" x14ac:dyDescent="0.2">
      <c r="A84" s="1">
        <v>45</v>
      </c>
      <c r="B84" s="6" t="s">
        <v>173</v>
      </c>
      <c r="C84" s="6" t="s">
        <v>160</v>
      </c>
      <c r="D84" s="6" t="s">
        <v>159</v>
      </c>
      <c r="E84" s="18" t="s">
        <v>252</v>
      </c>
      <c r="F84" s="8">
        <v>1</v>
      </c>
      <c r="G84" s="17" t="str">
        <f t="shared" si="4"/>
        <v xml:space="preserve">Αναστασία </v>
      </c>
      <c r="H84" s="17" t="str">
        <f t="shared" si="5"/>
        <v>Θωμάιδου</v>
      </c>
      <c r="I84" s="1" t="s">
        <v>66</v>
      </c>
      <c r="J84" s="20" t="s">
        <v>489</v>
      </c>
      <c r="K84" s="20" t="s">
        <v>418</v>
      </c>
      <c r="L84" s="1" t="s">
        <v>62</v>
      </c>
      <c r="M84" s="1" t="s">
        <v>26</v>
      </c>
    </row>
    <row r="85" spans="1:13" ht="15" customHeight="1" x14ac:dyDescent="0.2">
      <c r="A85" s="1">
        <v>50</v>
      </c>
      <c r="B85" s="6" t="s">
        <v>173</v>
      </c>
      <c r="C85" s="6" t="s">
        <v>160</v>
      </c>
      <c r="D85" s="6" t="s">
        <v>159</v>
      </c>
      <c r="E85" s="18" t="s">
        <v>253</v>
      </c>
      <c r="F85" s="8">
        <v>1</v>
      </c>
      <c r="G85" s="17" t="str">
        <f t="shared" si="4"/>
        <v xml:space="preserve">Χριστίνα </v>
      </c>
      <c r="H85" s="17" t="str">
        <f t="shared" si="5"/>
        <v>Μαραγιάννη</v>
      </c>
      <c r="I85" s="14" t="s">
        <v>75</v>
      </c>
      <c r="J85" s="21" t="s">
        <v>499</v>
      </c>
      <c r="K85" s="21" t="s">
        <v>391</v>
      </c>
      <c r="L85" s="14" t="s">
        <v>46</v>
      </c>
      <c r="M85" s="14" t="s">
        <v>22</v>
      </c>
    </row>
    <row r="86" spans="1:13" ht="15" customHeight="1" x14ac:dyDescent="0.2">
      <c r="A86" s="1">
        <v>55</v>
      </c>
      <c r="B86" s="6" t="s">
        <v>173</v>
      </c>
      <c r="C86" s="6" t="s">
        <v>160</v>
      </c>
      <c r="D86" s="6" t="s">
        <v>159</v>
      </c>
      <c r="E86" s="18" t="s">
        <v>254</v>
      </c>
      <c r="F86" s="8">
        <v>1</v>
      </c>
      <c r="G86" s="17" t="str">
        <f t="shared" si="4"/>
        <v xml:space="preserve">Μπίργκιτ </v>
      </c>
      <c r="H86" s="17" t="str">
        <f t="shared" si="5"/>
        <v>Βαν Ντε Βίτζγκαρτ</v>
      </c>
      <c r="I86" s="1" t="s">
        <v>131</v>
      </c>
      <c r="J86" s="20" t="s">
        <v>500</v>
      </c>
      <c r="K86" s="20" t="s">
        <v>416</v>
      </c>
      <c r="L86" s="1" t="s">
        <v>11</v>
      </c>
      <c r="M86" s="1" t="s">
        <v>30</v>
      </c>
    </row>
    <row r="87" spans="1:13" ht="15" customHeight="1" x14ac:dyDescent="0.2">
      <c r="A87" s="1">
        <v>60</v>
      </c>
      <c r="B87" s="6" t="s">
        <v>173</v>
      </c>
      <c r="C87" s="6" t="s">
        <v>160</v>
      </c>
      <c r="D87" s="6" t="s">
        <v>159</v>
      </c>
      <c r="E87" s="18" t="s">
        <v>255</v>
      </c>
      <c r="F87" s="8">
        <v>1</v>
      </c>
      <c r="G87" s="17" t="str">
        <f t="shared" si="4"/>
        <v xml:space="preserve">Σοφία </v>
      </c>
      <c r="H87" s="17" t="str">
        <f t="shared" si="5"/>
        <v>Κατάκη</v>
      </c>
      <c r="I87" s="1" t="s">
        <v>82</v>
      </c>
      <c r="J87" s="20" t="s">
        <v>501</v>
      </c>
      <c r="K87" s="8" t="s">
        <v>419</v>
      </c>
    </row>
    <row r="88" spans="1:13" ht="15" customHeight="1" x14ac:dyDescent="0.2">
      <c r="A88" s="1">
        <v>65</v>
      </c>
      <c r="B88" s="6" t="s">
        <v>173</v>
      </c>
      <c r="C88" s="6" t="s">
        <v>160</v>
      </c>
      <c r="D88" s="6" t="s">
        <v>159</v>
      </c>
      <c r="E88" s="18" t="s">
        <v>256</v>
      </c>
      <c r="F88" s="8">
        <v>1</v>
      </c>
      <c r="G88" s="17" t="str">
        <f t="shared" si="4"/>
        <v xml:space="preserve">Ελένη </v>
      </c>
      <c r="H88" s="17" t="str">
        <f t="shared" si="5"/>
        <v>Γκούζια</v>
      </c>
      <c r="I88" s="1" t="s">
        <v>109</v>
      </c>
      <c r="J88" s="20" t="s">
        <v>470</v>
      </c>
      <c r="K88" s="20" t="s">
        <v>420</v>
      </c>
      <c r="L88" s="1" t="s">
        <v>63</v>
      </c>
      <c r="M88" s="1" t="s">
        <v>30</v>
      </c>
    </row>
    <row r="89" spans="1:13" ht="15" customHeight="1" x14ac:dyDescent="0.2">
      <c r="A89" s="1">
        <v>70</v>
      </c>
      <c r="B89" s="6" t="s">
        <v>173</v>
      </c>
      <c r="C89" s="6" t="s">
        <v>160</v>
      </c>
      <c r="D89" s="6" t="s">
        <v>159</v>
      </c>
      <c r="E89" s="18" t="s">
        <v>257</v>
      </c>
      <c r="F89" s="8">
        <v>1</v>
      </c>
      <c r="G89" s="17" t="str">
        <f t="shared" si="4"/>
        <v xml:space="preserve">Ελένη </v>
      </c>
      <c r="H89" s="17" t="str">
        <f t="shared" si="5"/>
        <v>Γκούζια</v>
      </c>
      <c r="I89" s="1" t="s">
        <v>109</v>
      </c>
      <c r="J89" s="20" t="s">
        <v>470</v>
      </c>
      <c r="K89" s="20" t="s">
        <v>383</v>
      </c>
      <c r="L89" s="1" t="s">
        <v>11</v>
      </c>
      <c r="M89" s="1" t="s">
        <v>30</v>
      </c>
    </row>
    <row r="90" spans="1:13" ht="15" customHeight="1" x14ac:dyDescent="0.2">
      <c r="A90" s="1">
        <v>35</v>
      </c>
      <c r="B90" s="6" t="s">
        <v>174</v>
      </c>
      <c r="C90" s="6" t="s">
        <v>155</v>
      </c>
      <c r="D90" s="6" t="s">
        <v>159</v>
      </c>
      <c r="E90" s="18" t="s">
        <v>258</v>
      </c>
      <c r="F90" s="8">
        <v>1</v>
      </c>
      <c r="G90" s="17" t="str">
        <f t="shared" si="4"/>
        <v xml:space="preserve">Αντώνιος </v>
      </c>
      <c r="H90" s="17" t="str">
        <f t="shared" si="5"/>
        <v>Βούζης</v>
      </c>
      <c r="I90" s="1" t="s">
        <v>98</v>
      </c>
      <c r="J90" s="20" t="s">
        <v>502</v>
      </c>
      <c r="K90" s="8" t="s">
        <v>395</v>
      </c>
      <c r="L90" s="1" t="s">
        <v>62</v>
      </c>
      <c r="M90" s="1" t="s">
        <v>26</v>
      </c>
    </row>
    <row r="91" spans="1:13" ht="15" customHeight="1" x14ac:dyDescent="0.2">
      <c r="A91" s="1">
        <v>40</v>
      </c>
      <c r="B91" s="6" t="s">
        <v>174</v>
      </c>
      <c r="C91" s="6" t="s">
        <v>155</v>
      </c>
      <c r="D91" s="6" t="s">
        <v>159</v>
      </c>
      <c r="E91" s="18" t="s">
        <v>259</v>
      </c>
      <c r="F91" s="8">
        <v>1</v>
      </c>
      <c r="G91" s="17" t="str">
        <f t="shared" si="4"/>
        <v xml:space="preserve">Παύλος </v>
      </c>
      <c r="H91" s="17" t="str">
        <f t="shared" si="5"/>
        <v>Τζαναβάρας</v>
      </c>
      <c r="I91" s="1" t="s">
        <v>40</v>
      </c>
      <c r="J91" s="20" t="s">
        <v>503</v>
      </c>
      <c r="K91" s="8" t="s">
        <v>421</v>
      </c>
      <c r="L91" s="1" t="s">
        <v>62</v>
      </c>
      <c r="M91" s="1" t="s">
        <v>92</v>
      </c>
    </row>
    <row r="92" spans="1:13" ht="15" customHeight="1" x14ac:dyDescent="0.2">
      <c r="A92" s="1">
        <v>45</v>
      </c>
      <c r="B92" s="6" t="s">
        <v>174</v>
      </c>
      <c r="C92" s="6" t="s">
        <v>155</v>
      </c>
      <c r="D92" s="6" t="s">
        <v>159</v>
      </c>
      <c r="E92" s="18" t="s">
        <v>260</v>
      </c>
      <c r="F92" s="8">
        <v>1</v>
      </c>
      <c r="G92" s="17" t="str">
        <f t="shared" si="4"/>
        <v xml:space="preserve">Χαράλαμπος </v>
      </c>
      <c r="H92" s="17" t="str">
        <f t="shared" si="5"/>
        <v>Κωνσταντινίδης</v>
      </c>
      <c r="I92" s="1" t="s">
        <v>38</v>
      </c>
      <c r="J92" s="20" t="s">
        <v>493</v>
      </c>
      <c r="K92" s="20" t="s">
        <v>422</v>
      </c>
      <c r="L92" s="1" t="s">
        <v>62</v>
      </c>
      <c r="M92" s="1" t="s">
        <v>92</v>
      </c>
    </row>
    <row r="93" spans="1:13" ht="15" customHeight="1" x14ac:dyDescent="0.2">
      <c r="A93" s="1">
        <v>50</v>
      </c>
      <c r="B93" s="6" t="s">
        <v>174</v>
      </c>
      <c r="C93" s="6" t="s">
        <v>155</v>
      </c>
      <c r="D93" s="6" t="s">
        <v>159</v>
      </c>
      <c r="E93" s="18" t="s">
        <v>261</v>
      </c>
      <c r="F93" s="8">
        <v>1</v>
      </c>
      <c r="G93" s="17" t="str">
        <f t="shared" si="4"/>
        <v xml:space="preserve">Χαράλαμπος </v>
      </c>
      <c r="H93" s="17" t="str">
        <f t="shared" si="5"/>
        <v>Κωνσταντινίδης</v>
      </c>
      <c r="I93" s="1" t="s">
        <v>38</v>
      </c>
      <c r="J93" s="20" t="s">
        <v>493</v>
      </c>
      <c r="K93" s="20" t="s">
        <v>423</v>
      </c>
      <c r="L93" s="1" t="s">
        <v>62</v>
      </c>
      <c r="M93" s="1" t="s">
        <v>92</v>
      </c>
    </row>
    <row r="94" spans="1:13" ht="15" customHeight="1" x14ac:dyDescent="0.2">
      <c r="A94" s="1">
        <v>55</v>
      </c>
      <c r="B94" s="6" t="s">
        <v>174</v>
      </c>
      <c r="C94" s="6" t="s">
        <v>155</v>
      </c>
      <c r="D94" s="6" t="s">
        <v>159</v>
      </c>
      <c r="E94" s="18" t="s">
        <v>262</v>
      </c>
      <c r="F94" s="8">
        <v>1</v>
      </c>
      <c r="G94" s="17" t="str">
        <f t="shared" si="4"/>
        <v xml:space="preserve">Οδυσσέας </v>
      </c>
      <c r="H94" s="17" t="str">
        <f t="shared" si="5"/>
        <v>Άγρος</v>
      </c>
      <c r="I94" s="1" t="s">
        <v>41</v>
      </c>
      <c r="J94" s="20" t="s">
        <v>504</v>
      </c>
      <c r="K94" s="20" t="s">
        <v>383</v>
      </c>
      <c r="L94" s="1" t="s">
        <v>11</v>
      </c>
      <c r="M94" s="1" t="s">
        <v>30</v>
      </c>
    </row>
    <row r="95" spans="1:13" ht="15" customHeight="1" x14ac:dyDescent="0.2">
      <c r="A95" s="1">
        <v>60</v>
      </c>
      <c r="B95" s="6" t="s">
        <v>174</v>
      </c>
      <c r="C95" s="6" t="s">
        <v>155</v>
      </c>
      <c r="D95" s="6" t="s">
        <v>159</v>
      </c>
      <c r="E95" s="18" t="s">
        <v>263</v>
      </c>
      <c r="F95" s="8">
        <v>1</v>
      </c>
      <c r="G95" s="17" t="str">
        <f t="shared" si="4"/>
        <v xml:space="preserve">Κωνσταντίνος </v>
      </c>
      <c r="H95" s="17" t="str">
        <f t="shared" si="5"/>
        <v>Κορδώσης</v>
      </c>
      <c r="I95" s="1" t="s">
        <v>95</v>
      </c>
      <c r="J95" s="20" t="s">
        <v>495</v>
      </c>
      <c r="K95" s="8" t="s">
        <v>411</v>
      </c>
      <c r="L95" s="1" t="s">
        <v>63</v>
      </c>
      <c r="M95" s="1" t="s">
        <v>30</v>
      </c>
    </row>
    <row r="96" spans="1:13" ht="15" customHeight="1" x14ac:dyDescent="0.2">
      <c r="A96" s="1">
        <v>65</v>
      </c>
      <c r="B96" s="6" t="s">
        <v>174</v>
      </c>
      <c r="C96" s="6" t="s">
        <v>155</v>
      </c>
      <c r="D96" s="6" t="s">
        <v>159</v>
      </c>
      <c r="E96" s="18" t="s">
        <v>264</v>
      </c>
      <c r="F96" s="8">
        <v>1</v>
      </c>
      <c r="G96" s="17" t="str">
        <f t="shared" si="4"/>
        <v xml:space="preserve">Γεώργιος </v>
      </c>
      <c r="H96" s="17" t="str">
        <f t="shared" si="5"/>
        <v>Θεοδωσίου</v>
      </c>
      <c r="I96" s="1" t="s">
        <v>39</v>
      </c>
      <c r="J96" s="20" t="s">
        <v>496</v>
      </c>
      <c r="K96" s="8" t="s">
        <v>424</v>
      </c>
      <c r="L96" s="1" t="s">
        <v>62</v>
      </c>
      <c r="M96" s="1" t="s">
        <v>93</v>
      </c>
    </row>
    <row r="97" spans="1:13" ht="15" customHeight="1" x14ac:dyDescent="0.2">
      <c r="A97" s="1">
        <v>70</v>
      </c>
      <c r="B97" s="6" t="s">
        <v>174</v>
      </c>
      <c r="C97" s="6" t="s">
        <v>155</v>
      </c>
      <c r="D97" s="6" t="s">
        <v>159</v>
      </c>
      <c r="E97" s="18" t="s">
        <v>265</v>
      </c>
      <c r="F97" s="8">
        <v>1</v>
      </c>
      <c r="G97" s="17" t="str">
        <f t="shared" si="4"/>
        <v xml:space="preserve">Γεώργιος </v>
      </c>
      <c r="H97" s="17" t="str">
        <f t="shared" si="5"/>
        <v>Θεοδωσίου</v>
      </c>
      <c r="I97" s="1" t="s">
        <v>39</v>
      </c>
      <c r="J97" s="20" t="s">
        <v>496</v>
      </c>
      <c r="K97" s="20" t="s">
        <v>425</v>
      </c>
      <c r="L97" s="1" t="s">
        <v>64</v>
      </c>
      <c r="M97" s="1" t="s">
        <v>10</v>
      </c>
    </row>
    <row r="98" spans="1:13" ht="15" customHeight="1" x14ac:dyDescent="0.2">
      <c r="A98" s="1">
        <v>75</v>
      </c>
      <c r="B98" s="6" t="s">
        <v>174</v>
      </c>
      <c r="C98" s="6" t="s">
        <v>155</v>
      </c>
      <c r="D98" s="6" t="s">
        <v>159</v>
      </c>
      <c r="E98" s="18" t="s">
        <v>266</v>
      </c>
      <c r="F98" s="8">
        <v>1</v>
      </c>
      <c r="G98" s="17" t="str">
        <f t="shared" ref="G98:G129" si="6">LEFT(I98,FIND(" ",I98))</f>
        <v xml:space="preserve">Ιωάννης </v>
      </c>
      <c r="H98" s="17" t="str">
        <f t="shared" ref="H98:H129" si="7">MID(I98,FIND(" ",I98)+1,LEN(I98)-LEN(G98))</f>
        <v>Κυρδήμος</v>
      </c>
      <c r="I98" s="1" t="s">
        <v>42</v>
      </c>
      <c r="J98" s="20" t="s">
        <v>505</v>
      </c>
      <c r="K98" s="20" t="s">
        <v>372</v>
      </c>
      <c r="L98" s="1" t="s">
        <v>20</v>
      </c>
      <c r="M98" s="1" t="s">
        <v>22</v>
      </c>
    </row>
    <row r="99" spans="1:13" ht="15" customHeight="1" x14ac:dyDescent="0.2">
      <c r="A99" s="1">
        <v>80</v>
      </c>
      <c r="B99" s="6" t="s">
        <v>174</v>
      </c>
      <c r="C99" s="6" t="s">
        <v>155</v>
      </c>
      <c r="D99" s="6" t="s">
        <v>159</v>
      </c>
      <c r="E99" s="18" t="s">
        <v>267</v>
      </c>
      <c r="F99" s="8">
        <v>1</v>
      </c>
      <c r="G99" s="17" t="str">
        <f t="shared" si="6"/>
        <v xml:space="preserve">Γεώργιος </v>
      </c>
      <c r="H99" s="17" t="str">
        <f t="shared" si="7"/>
        <v>Θεοδωσίου</v>
      </c>
      <c r="I99" s="1" t="s">
        <v>39</v>
      </c>
      <c r="J99" s="20" t="s">
        <v>496</v>
      </c>
      <c r="K99" s="20" t="s">
        <v>426</v>
      </c>
      <c r="L99" s="1" t="s">
        <v>43</v>
      </c>
      <c r="M99" s="1" t="s">
        <v>22</v>
      </c>
    </row>
    <row r="100" spans="1:13" ht="15" customHeight="1" x14ac:dyDescent="0.2">
      <c r="A100" s="1">
        <v>85</v>
      </c>
      <c r="B100" s="6" t="s">
        <v>174</v>
      </c>
      <c r="C100" s="6" t="s">
        <v>155</v>
      </c>
      <c r="D100" s="6" t="s">
        <v>159</v>
      </c>
      <c r="E100" s="18" t="s">
        <v>268</v>
      </c>
      <c r="F100" s="8">
        <v>1</v>
      </c>
      <c r="G100" s="17" t="str">
        <f t="shared" si="6"/>
        <v xml:space="preserve">Παναγιώτης </v>
      </c>
      <c r="H100" s="17" t="str">
        <f t="shared" si="7"/>
        <v>Δούσης</v>
      </c>
      <c r="I100" s="1" t="s">
        <v>44</v>
      </c>
      <c r="J100" s="20" t="s">
        <v>498</v>
      </c>
      <c r="K100" s="20" t="s">
        <v>372</v>
      </c>
      <c r="L100" s="1" t="s">
        <v>20</v>
      </c>
      <c r="M100" s="1" t="s">
        <v>22</v>
      </c>
    </row>
    <row r="101" spans="1:13" ht="15" customHeight="1" x14ac:dyDescent="0.2">
      <c r="A101" s="1">
        <v>35</v>
      </c>
      <c r="B101" s="6" t="s">
        <v>174</v>
      </c>
      <c r="C101" s="6" t="s">
        <v>160</v>
      </c>
      <c r="D101" s="6" t="s">
        <v>159</v>
      </c>
      <c r="E101" s="18" t="s">
        <v>269</v>
      </c>
      <c r="F101" s="8">
        <v>1</v>
      </c>
      <c r="G101" s="17" t="str">
        <f t="shared" si="6"/>
        <v xml:space="preserve">Κωνσταντίνα </v>
      </c>
      <c r="H101" s="17" t="str">
        <f t="shared" si="7"/>
        <v>Κεφαλά</v>
      </c>
      <c r="I101" s="1" t="s">
        <v>83</v>
      </c>
      <c r="J101" s="20" t="s">
        <v>506</v>
      </c>
      <c r="K101" s="20" t="s">
        <v>394</v>
      </c>
      <c r="L101" s="1" t="s">
        <v>62</v>
      </c>
      <c r="M101" s="1" t="s">
        <v>26</v>
      </c>
    </row>
    <row r="102" spans="1:13" ht="15" customHeight="1" x14ac:dyDescent="0.2">
      <c r="A102" s="1">
        <v>40</v>
      </c>
      <c r="B102" s="6" t="s">
        <v>174</v>
      </c>
      <c r="C102" s="6" t="s">
        <v>160</v>
      </c>
      <c r="D102" s="6" t="s">
        <v>159</v>
      </c>
      <c r="E102" s="18" t="s">
        <v>270</v>
      </c>
      <c r="F102" s="8">
        <v>1</v>
      </c>
      <c r="G102" s="17" t="str">
        <f t="shared" si="6"/>
        <v xml:space="preserve">Παναγιώτα </v>
      </c>
      <c r="H102" s="17" t="str">
        <f t="shared" si="7"/>
        <v>Ασημακοπούλου</v>
      </c>
      <c r="I102" s="1" t="s">
        <v>125</v>
      </c>
      <c r="J102" s="20" t="s">
        <v>507</v>
      </c>
      <c r="K102" s="20" t="s">
        <v>374</v>
      </c>
      <c r="L102" s="1" t="s">
        <v>20</v>
      </c>
      <c r="M102" s="1" t="s">
        <v>22</v>
      </c>
    </row>
    <row r="103" spans="1:13" ht="15" customHeight="1" x14ac:dyDescent="0.2">
      <c r="A103" s="1">
        <v>45</v>
      </c>
      <c r="B103" s="6" t="s">
        <v>174</v>
      </c>
      <c r="C103" s="6" t="s">
        <v>160</v>
      </c>
      <c r="D103" s="6" t="s">
        <v>159</v>
      </c>
      <c r="E103" s="18" t="s">
        <v>271</v>
      </c>
      <c r="F103" s="8">
        <v>1</v>
      </c>
      <c r="G103" s="17" t="str">
        <f t="shared" si="6"/>
        <v xml:space="preserve">Χριστίνα </v>
      </c>
      <c r="H103" s="17" t="str">
        <f t="shared" si="7"/>
        <v>Μαραγιάννη</v>
      </c>
      <c r="I103" s="14" t="s">
        <v>75</v>
      </c>
      <c r="J103" s="21" t="s">
        <v>499</v>
      </c>
      <c r="K103" s="21" t="s">
        <v>372</v>
      </c>
      <c r="L103" s="14" t="s">
        <v>20</v>
      </c>
      <c r="M103" s="14" t="s">
        <v>22</v>
      </c>
    </row>
    <row r="104" spans="1:13" ht="15" customHeight="1" x14ac:dyDescent="0.2">
      <c r="A104" s="1">
        <v>50</v>
      </c>
      <c r="B104" s="6" t="s">
        <v>174</v>
      </c>
      <c r="C104" s="6" t="s">
        <v>160</v>
      </c>
      <c r="D104" s="6" t="s">
        <v>159</v>
      </c>
      <c r="E104" s="18" t="s">
        <v>272</v>
      </c>
      <c r="F104" s="8">
        <v>1</v>
      </c>
      <c r="G104" s="17" t="str">
        <f t="shared" si="6"/>
        <v xml:space="preserve">Χριστίνα </v>
      </c>
      <c r="H104" s="17" t="str">
        <f t="shared" si="7"/>
        <v>Μαραγιάννη</v>
      </c>
      <c r="I104" s="14" t="s">
        <v>75</v>
      </c>
      <c r="J104" s="21" t="s">
        <v>499</v>
      </c>
      <c r="K104" s="20" t="s">
        <v>427</v>
      </c>
      <c r="L104" s="1" t="s">
        <v>20</v>
      </c>
      <c r="M104" s="1" t="s">
        <v>129</v>
      </c>
    </row>
    <row r="105" spans="1:13" ht="15" customHeight="1" x14ac:dyDescent="0.2">
      <c r="A105" s="1">
        <v>55</v>
      </c>
      <c r="B105" s="6" t="s">
        <v>174</v>
      </c>
      <c r="C105" s="6" t="s">
        <v>160</v>
      </c>
      <c r="D105" s="6" t="s">
        <v>159</v>
      </c>
      <c r="E105" s="18" t="s">
        <v>273</v>
      </c>
      <c r="F105" s="8">
        <v>1</v>
      </c>
      <c r="G105" s="17" t="str">
        <f t="shared" si="6"/>
        <v xml:space="preserve">Μπίργκιτ </v>
      </c>
      <c r="H105" s="17" t="str">
        <f t="shared" si="7"/>
        <v>Βαν Ντε Βίτζγκαρτ</v>
      </c>
      <c r="I105" s="1" t="s">
        <v>131</v>
      </c>
      <c r="J105" s="20" t="s">
        <v>500</v>
      </c>
      <c r="K105" s="20" t="s">
        <v>428</v>
      </c>
      <c r="L105" s="1" t="s">
        <v>11</v>
      </c>
      <c r="M105" s="1" t="s">
        <v>30</v>
      </c>
    </row>
    <row r="106" spans="1:13" ht="15" customHeight="1" x14ac:dyDescent="0.2">
      <c r="A106" s="1">
        <v>60</v>
      </c>
      <c r="B106" s="6" t="s">
        <v>174</v>
      </c>
      <c r="C106" s="6" t="s">
        <v>160</v>
      </c>
      <c r="D106" s="6" t="s">
        <v>159</v>
      </c>
      <c r="E106" s="18" t="s">
        <v>274</v>
      </c>
      <c r="F106" s="8">
        <v>1</v>
      </c>
      <c r="G106" s="17" t="str">
        <f t="shared" si="6"/>
        <v xml:space="preserve">Αθηνά </v>
      </c>
      <c r="H106" s="17" t="str">
        <f t="shared" si="7"/>
        <v>Βαϊνά</v>
      </c>
      <c r="I106" s="1" t="s">
        <v>76</v>
      </c>
      <c r="J106" s="20" t="s">
        <v>481</v>
      </c>
      <c r="K106" s="20" t="s">
        <v>372</v>
      </c>
      <c r="L106" s="1" t="s">
        <v>20</v>
      </c>
      <c r="M106" s="1" t="s">
        <v>22</v>
      </c>
    </row>
    <row r="107" spans="1:13" ht="15" customHeight="1" x14ac:dyDescent="0.2">
      <c r="A107" s="1">
        <v>80</v>
      </c>
      <c r="B107" s="6" t="s">
        <v>174</v>
      </c>
      <c r="C107" s="6" t="s">
        <v>160</v>
      </c>
      <c r="D107" s="6" t="s">
        <v>159</v>
      </c>
      <c r="E107" s="18" t="s">
        <v>275</v>
      </c>
      <c r="F107" s="8">
        <v>1</v>
      </c>
      <c r="G107" s="17" t="str">
        <f t="shared" si="6"/>
        <v xml:space="preserve">Σμαράγδα </v>
      </c>
      <c r="H107" s="17" t="str">
        <f t="shared" si="7"/>
        <v>Μανδύλα</v>
      </c>
      <c r="I107" s="1" t="s">
        <v>112</v>
      </c>
      <c r="J107" s="20" t="s">
        <v>482</v>
      </c>
      <c r="K107" s="20" t="s">
        <v>406</v>
      </c>
      <c r="L107" s="1" t="s">
        <v>46</v>
      </c>
      <c r="M107" s="1" t="s">
        <v>22</v>
      </c>
    </row>
    <row r="108" spans="1:13" ht="15" customHeight="1" x14ac:dyDescent="0.2">
      <c r="A108" s="1">
        <v>35</v>
      </c>
      <c r="B108" s="6" t="s">
        <v>175</v>
      </c>
      <c r="C108" s="6" t="s">
        <v>155</v>
      </c>
      <c r="D108" s="6" t="s">
        <v>159</v>
      </c>
      <c r="E108" s="18" t="s">
        <v>276</v>
      </c>
      <c r="F108" s="8">
        <v>1</v>
      </c>
      <c r="G108" s="17" t="str">
        <f t="shared" si="6"/>
        <v xml:space="preserve">Σπυρίδων </v>
      </c>
      <c r="H108" s="17" t="str">
        <f t="shared" si="7"/>
        <v>Ανδριόπουλος</v>
      </c>
      <c r="I108" s="1" t="s">
        <v>45</v>
      </c>
      <c r="J108" s="20" t="s">
        <v>508</v>
      </c>
      <c r="K108" s="20" t="s">
        <v>429</v>
      </c>
      <c r="L108" s="1" t="s">
        <v>62</v>
      </c>
      <c r="M108" s="1" t="s">
        <v>26</v>
      </c>
    </row>
    <row r="109" spans="1:13" ht="15" customHeight="1" x14ac:dyDescent="0.2">
      <c r="A109" s="1">
        <v>40</v>
      </c>
      <c r="B109" s="6" t="s">
        <v>175</v>
      </c>
      <c r="C109" s="6" t="s">
        <v>155</v>
      </c>
      <c r="D109" s="6" t="s">
        <v>159</v>
      </c>
      <c r="E109" s="18" t="s">
        <v>277</v>
      </c>
      <c r="F109" s="8">
        <v>1</v>
      </c>
      <c r="G109" s="17" t="str">
        <f t="shared" si="6"/>
        <v xml:space="preserve">Κυριάκος </v>
      </c>
      <c r="H109" s="17" t="str">
        <f t="shared" si="7"/>
        <v>Μπέης</v>
      </c>
      <c r="I109" s="1" t="s">
        <v>120</v>
      </c>
      <c r="J109" s="20" t="s">
        <v>509</v>
      </c>
      <c r="K109" s="20" t="s">
        <v>379</v>
      </c>
      <c r="L109" s="1" t="s">
        <v>62</v>
      </c>
      <c r="M109" s="1" t="s">
        <v>26</v>
      </c>
    </row>
    <row r="110" spans="1:13" ht="15" customHeight="1" x14ac:dyDescent="0.2">
      <c r="A110" s="1">
        <v>45</v>
      </c>
      <c r="B110" s="6" t="s">
        <v>175</v>
      </c>
      <c r="C110" s="6" t="s">
        <v>155</v>
      </c>
      <c r="D110" s="6" t="s">
        <v>159</v>
      </c>
      <c r="E110" s="18" t="s">
        <v>278</v>
      </c>
      <c r="F110" s="8">
        <v>1</v>
      </c>
      <c r="G110" s="17" t="str">
        <f t="shared" si="6"/>
        <v xml:space="preserve">Δημήτριος </v>
      </c>
      <c r="H110" s="17" t="str">
        <f t="shared" si="7"/>
        <v>Μπρέκης</v>
      </c>
      <c r="I110" s="1" t="s">
        <v>99</v>
      </c>
      <c r="J110" s="20" t="s">
        <v>458</v>
      </c>
      <c r="K110" s="8" t="s">
        <v>395</v>
      </c>
      <c r="L110" s="1" t="s">
        <v>62</v>
      </c>
      <c r="M110" s="1" t="s">
        <v>93</v>
      </c>
    </row>
    <row r="111" spans="1:13" ht="15" customHeight="1" x14ac:dyDescent="0.2">
      <c r="A111" s="1">
        <v>50</v>
      </c>
      <c r="B111" s="6" t="s">
        <v>175</v>
      </c>
      <c r="C111" s="6" t="s">
        <v>155</v>
      </c>
      <c r="D111" s="6" t="s">
        <v>159</v>
      </c>
      <c r="E111" s="18" t="s">
        <v>279</v>
      </c>
      <c r="F111" s="8">
        <v>1</v>
      </c>
      <c r="G111" s="17" t="str">
        <f t="shared" si="6"/>
        <v xml:space="preserve">Παύλος </v>
      </c>
      <c r="H111" s="17" t="str">
        <f t="shared" si="7"/>
        <v>Τζαναβάρας</v>
      </c>
      <c r="I111" s="1" t="s">
        <v>40</v>
      </c>
      <c r="J111" s="20" t="s">
        <v>503</v>
      </c>
      <c r="K111" s="20" t="s">
        <v>417</v>
      </c>
      <c r="L111" s="1" t="s">
        <v>62</v>
      </c>
      <c r="M111" s="1" t="s">
        <v>92</v>
      </c>
    </row>
    <row r="112" spans="1:13" ht="15" customHeight="1" x14ac:dyDescent="0.2">
      <c r="A112" s="1">
        <v>55</v>
      </c>
      <c r="B112" s="6" t="s">
        <v>175</v>
      </c>
      <c r="C112" s="6" t="s">
        <v>155</v>
      </c>
      <c r="D112" s="6" t="s">
        <v>159</v>
      </c>
      <c r="E112" s="18" t="s">
        <v>280</v>
      </c>
      <c r="F112" s="8">
        <v>1</v>
      </c>
      <c r="G112" s="17" t="str">
        <f t="shared" si="6"/>
        <v xml:space="preserve">Παναγιώτης </v>
      </c>
      <c r="H112" s="17" t="str">
        <f t="shared" si="7"/>
        <v>Σκουλής</v>
      </c>
      <c r="I112" s="1" t="s">
        <v>100</v>
      </c>
      <c r="J112" s="20" t="s">
        <v>510</v>
      </c>
      <c r="K112" s="8" t="s">
        <v>395</v>
      </c>
      <c r="L112" s="1" t="s">
        <v>62</v>
      </c>
      <c r="M112" s="1" t="s">
        <v>93</v>
      </c>
    </row>
    <row r="113" spans="1:13" ht="15" customHeight="1" x14ac:dyDescent="0.2">
      <c r="A113" s="1">
        <v>60</v>
      </c>
      <c r="B113" s="6" t="s">
        <v>175</v>
      </c>
      <c r="C113" s="6" t="s">
        <v>155</v>
      </c>
      <c r="D113" s="6" t="s">
        <v>159</v>
      </c>
      <c r="E113" s="18" t="s">
        <v>281</v>
      </c>
      <c r="F113" s="8">
        <v>1</v>
      </c>
      <c r="G113" s="17" t="str">
        <f t="shared" si="6"/>
        <v xml:space="preserve">Ελευθέριος </v>
      </c>
      <c r="H113" s="17" t="str">
        <f t="shared" si="7"/>
        <v>Μαυρόπουλος</v>
      </c>
      <c r="I113" s="1" t="s">
        <v>101</v>
      </c>
      <c r="J113" s="20" t="s">
        <v>511</v>
      </c>
      <c r="K113" s="8" t="s">
        <v>424</v>
      </c>
      <c r="L113" s="1" t="s">
        <v>102</v>
      </c>
      <c r="M113" s="1" t="s">
        <v>30</v>
      </c>
    </row>
    <row r="114" spans="1:13" ht="15" customHeight="1" x14ac:dyDescent="0.2">
      <c r="A114" s="1">
        <v>65</v>
      </c>
      <c r="B114" s="6" t="s">
        <v>175</v>
      </c>
      <c r="C114" s="6" t="s">
        <v>155</v>
      </c>
      <c r="D114" s="6" t="s">
        <v>159</v>
      </c>
      <c r="E114" s="18" t="s">
        <v>282</v>
      </c>
      <c r="F114" s="8">
        <v>1</v>
      </c>
      <c r="G114" s="17" t="str">
        <f t="shared" si="6"/>
        <v xml:space="preserve">Παναγιώτης </v>
      </c>
      <c r="H114" s="17" t="str">
        <f t="shared" si="7"/>
        <v>Κανακάρης</v>
      </c>
      <c r="I114" s="1" t="s">
        <v>103</v>
      </c>
      <c r="J114" s="20" t="s">
        <v>512</v>
      </c>
      <c r="K114" s="8" t="s">
        <v>430</v>
      </c>
      <c r="L114" s="1" t="s">
        <v>62</v>
      </c>
      <c r="M114" s="1" t="s">
        <v>93</v>
      </c>
    </row>
    <row r="115" spans="1:13" ht="15" customHeight="1" x14ac:dyDescent="0.2">
      <c r="A115" s="1">
        <v>70</v>
      </c>
      <c r="B115" s="6" t="s">
        <v>175</v>
      </c>
      <c r="C115" s="6" t="s">
        <v>155</v>
      </c>
      <c r="D115" s="6" t="s">
        <v>159</v>
      </c>
      <c r="E115" s="18" t="s">
        <v>283</v>
      </c>
      <c r="F115" s="8">
        <v>1</v>
      </c>
      <c r="G115" s="17" t="str">
        <f t="shared" si="6"/>
        <v xml:space="preserve">Γεώργιος </v>
      </c>
      <c r="H115" s="17" t="str">
        <f t="shared" si="7"/>
        <v>Δεληγιαννίδης</v>
      </c>
      <c r="I115" s="1" t="s">
        <v>111</v>
      </c>
      <c r="J115" s="20" t="s">
        <v>513</v>
      </c>
      <c r="K115" s="8" t="s">
        <v>431</v>
      </c>
      <c r="L115" s="1" t="s">
        <v>62</v>
      </c>
    </row>
    <row r="116" spans="1:13" ht="15" customHeight="1" x14ac:dyDescent="0.2">
      <c r="A116" s="1">
        <v>75</v>
      </c>
      <c r="B116" s="6" t="s">
        <v>175</v>
      </c>
      <c r="C116" s="6" t="s">
        <v>155</v>
      </c>
      <c r="D116" s="6" t="s">
        <v>159</v>
      </c>
      <c r="E116" s="18" t="s">
        <v>284</v>
      </c>
      <c r="F116" s="8">
        <v>1</v>
      </c>
      <c r="G116" s="17" t="str">
        <f t="shared" si="6"/>
        <v xml:space="preserve">Παναγιώτης </v>
      </c>
      <c r="H116" s="17" t="str">
        <f t="shared" si="7"/>
        <v>Γάκης</v>
      </c>
      <c r="I116" s="1" t="s">
        <v>97</v>
      </c>
      <c r="J116" s="20" t="s">
        <v>497</v>
      </c>
      <c r="K116" s="8" t="s">
        <v>430</v>
      </c>
      <c r="L116" s="1" t="s">
        <v>62</v>
      </c>
      <c r="M116" s="1" t="s">
        <v>93</v>
      </c>
    </row>
    <row r="117" spans="1:13" ht="15" customHeight="1" x14ac:dyDescent="0.2">
      <c r="A117" s="1">
        <v>80</v>
      </c>
      <c r="B117" s="6" t="s">
        <v>175</v>
      </c>
      <c r="C117" s="6" t="s">
        <v>155</v>
      </c>
      <c r="D117" s="6" t="s">
        <v>159</v>
      </c>
      <c r="E117" s="18" t="s">
        <v>285</v>
      </c>
      <c r="F117" s="8">
        <v>1</v>
      </c>
      <c r="G117" s="17" t="str">
        <f t="shared" si="6"/>
        <v xml:space="preserve">Παναγιώτης </v>
      </c>
      <c r="H117" s="17" t="str">
        <f t="shared" si="7"/>
        <v>Γάκης</v>
      </c>
      <c r="I117" s="1" t="s">
        <v>97</v>
      </c>
      <c r="J117" s="20" t="s">
        <v>497</v>
      </c>
      <c r="K117" s="20" t="s">
        <v>432</v>
      </c>
      <c r="L117" s="1" t="s">
        <v>62</v>
      </c>
      <c r="M117" s="1" t="s">
        <v>93</v>
      </c>
    </row>
    <row r="118" spans="1:13" ht="15" customHeight="1" x14ac:dyDescent="0.2">
      <c r="A118" s="1">
        <v>85</v>
      </c>
      <c r="B118" s="6" t="s">
        <v>175</v>
      </c>
      <c r="C118" s="6" t="s">
        <v>155</v>
      </c>
      <c r="D118" s="6" t="s">
        <v>159</v>
      </c>
      <c r="E118" s="18" t="s">
        <v>286</v>
      </c>
      <c r="F118" s="8">
        <v>1</v>
      </c>
      <c r="G118" s="17" t="str">
        <f t="shared" si="6"/>
        <v xml:space="preserve">Παναγιώτης </v>
      </c>
      <c r="H118" s="17" t="str">
        <f t="shared" si="7"/>
        <v>Δούσης</v>
      </c>
      <c r="I118" s="1" t="s">
        <v>44</v>
      </c>
      <c r="J118" s="20" t="s">
        <v>498</v>
      </c>
      <c r="K118" s="20" t="s">
        <v>385</v>
      </c>
      <c r="L118" s="1" t="s">
        <v>20</v>
      </c>
      <c r="M118" s="1" t="s">
        <v>22</v>
      </c>
    </row>
    <row r="119" spans="1:13" ht="15" customHeight="1" x14ac:dyDescent="0.2">
      <c r="A119" s="1">
        <v>35</v>
      </c>
      <c r="B119" s="6" t="s">
        <v>175</v>
      </c>
      <c r="C119" s="6" t="s">
        <v>160</v>
      </c>
      <c r="D119" s="6" t="s">
        <v>159</v>
      </c>
      <c r="E119" s="18" t="s">
        <v>287</v>
      </c>
      <c r="F119" s="8">
        <v>1</v>
      </c>
      <c r="G119" s="17" t="str">
        <f t="shared" si="6"/>
        <v xml:space="preserve">Στεφανία </v>
      </c>
      <c r="H119" s="17" t="str">
        <f t="shared" si="7"/>
        <v xml:space="preserve">Λεοντιάδου </v>
      </c>
      <c r="I119" s="1" t="s">
        <v>85</v>
      </c>
      <c r="J119" s="20" t="s">
        <v>514</v>
      </c>
      <c r="K119" s="20" t="s">
        <v>433</v>
      </c>
      <c r="L119" s="1" t="s">
        <v>62</v>
      </c>
      <c r="M119" s="1" t="s">
        <v>26</v>
      </c>
    </row>
    <row r="120" spans="1:13" ht="15" customHeight="1" x14ac:dyDescent="0.2">
      <c r="A120" s="1">
        <v>40</v>
      </c>
      <c r="B120" s="6" t="s">
        <v>175</v>
      </c>
      <c r="C120" s="6" t="s">
        <v>160</v>
      </c>
      <c r="D120" s="6" t="s">
        <v>159</v>
      </c>
      <c r="E120" s="18" t="s">
        <v>288</v>
      </c>
      <c r="F120" s="8">
        <v>1</v>
      </c>
      <c r="G120" s="17" t="str">
        <f t="shared" si="6"/>
        <v xml:space="preserve">Σπυριδούλα </v>
      </c>
      <c r="H120" s="17" t="str">
        <f t="shared" si="7"/>
        <v>Σούμα</v>
      </c>
      <c r="I120" s="1" t="s">
        <v>67</v>
      </c>
      <c r="J120" s="20" t="s">
        <v>515</v>
      </c>
      <c r="K120" s="20" t="s">
        <v>434</v>
      </c>
      <c r="L120" s="1" t="s">
        <v>33</v>
      </c>
      <c r="M120" s="1" t="s">
        <v>10</v>
      </c>
    </row>
    <row r="121" spans="1:13" ht="15" customHeight="1" x14ac:dyDescent="0.2">
      <c r="A121" s="1">
        <v>45</v>
      </c>
      <c r="B121" s="6" t="s">
        <v>175</v>
      </c>
      <c r="C121" s="6" t="s">
        <v>160</v>
      </c>
      <c r="D121" s="6" t="s">
        <v>159</v>
      </c>
      <c r="E121" s="18" t="s">
        <v>289</v>
      </c>
      <c r="F121" s="8">
        <v>1</v>
      </c>
      <c r="G121" s="17" t="str">
        <f t="shared" si="6"/>
        <v xml:space="preserve">Χριστίνα </v>
      </c>
      <c r="H121" s="17" t="str">
        <f t="shared" si="7"/>
        <v>Μαραγιάννη</v>
      </c>
      <c r="I121" s="14" t="s">
        <v>75</v>
      </c>
      <c r="J121" s="21" t="s">
        <v>499</v>
      </c>
      <c r="K121" s="21" t="s">
        <v>385</v>
      </c>
      <c r="L121" s="14" t="s">
        <v>20</v>
      </c>
      <c r="M121" s="14" t="s">
        <v>22</v>
      </c>
    </row>
    <row r="122" spans="1:13" ht="15" customHeight="1" x14ac:dyDescent="0.2">
      <c r="A122" s="1">
        <v>50</v>
      </c>
      <c r="B122" s="6" t="s">
        <v>175</v>
      </c>
      <c r="C122" s="6" t="s">
        <v>160</v>
      </c>
      <c r="D122" s="6" t="s">
        <v>159</v>
      </c>
      <c r="E122" s="18" t="s">
        <v>290</v>
      </c>
      <c r="F122" s="8">
        <v>1</v>
      </c>
      <c r="G122" s="17" t="str">
        <f t="shared" si="6"/>
        <v xml:space="preserve">Χριστίνα </v>
      </c>
      <c r="H122" s="17" t="str">
        <f t="shared" si="7"/>
        <v>Μαραγιάννη</v>
      </c>
      <c r="I122" s="14" t="s">
        <v>75</v>
      </c>
      <c r="J122" s="21" t="s">
        <v>499</v>
      </c>
      <c r="K122" s="20" t="s">
        <v>391</v>
      </c>
      <c r="L122" s="1" t="s">
        <v>20</v>
      </c>
      <c r="M122" s="1" t="s">
        <v>129</v>
      </c>
    </row>
    <row r="123" spans="1:13" ht="15" customHeight="1" x14ac:dyDescent="0.2">
      <c r="A123" s="1">
        <v>55</v>
      </c>
      <c r="B123" s="6" t="s">
        <v>175</v>
      </c>
      <c r="C123" s="6" t="s">
        <v>160</v>
      </c>
      <c r="D123" s="6" t="s">
        <v>159</v>
      </c>
      <c r="E123" s="18" t="s">
        <v>291</v>
      </c>
      <c r="F123" s="8">
        <v>1</v>
      </c>
      <c r="G123" s="17" t="str">
        <f t="shared" si="6"/>
        <v xml:space="preserve">Ελπίδα </v>
      </c>
      <c r="H123" s="17" t="str">
        <f t="shared" si="7"/>
        <v>Γιώτη</v>
      </c>
      <c r="I123" s="1" t="s">
        <v>84</v>
      </c>
      <c r="J123" s="20" t="s">
        <v>516</v>
      </c>
      <c r="K123" s="20" t="s">
        <v>385</v>
      </c>
      <c r="L123" s="1" t="s">
        <v>20</v>
      </c>
      <c r="M123" s="1" t="s">
        <v>22</v>
      </c>
    </row>
    <row r="124" spans="1:13" ht="15" customHeight="1" x14ac:dyDescent="0.2">
      <c r="A124" s="1">
        <v>60</v>
      </c>
      <c r="B124" s="6" t="s">
        <v>175</v>
      </c>
      <c r="C124" s="6" t="s">
        <v>160</v>
      </c>
      <c r="D124" s="6" t="s">
        <v>159</v>
      </c>
      <c r="E124" s="18" t="s">
        <v>292</v>
      </c>
      <c r="F124" s="8">
        <v>1</v>
      </c>
      <c r="G124" s="17" t="str">
        <f t="shared" si="6"/>
        <v xml:space="preserve">Αθηνά </v>
      </c>
      <c r="H124" s="17" t="str">
        <f t="shared" si="7"/>
        <v>Βαϊνά</v>
      </c>
      <c r="I124" s="1" t="s">
        <v>76</v>
      </c>
      <c r="J124" s="20" t="s">
        <v>481</v>
      </c>
      <c r="K124" s="20" t="s">
        <v>385</v>
      </c>
      <c r="L124" s="1" t="s">
        <v>20</v>
      </c>
      <c r="M124" s="1" t="s">
        <v>22</v>
      </c>
    </row>
    <row r="125" spans="1:13" ht="15" customHeight="1" x14ac:dyDescent="0.2">
      <c r="A125" s="1">
        <v>80</v>
      </c>
      <c r="B125" s="6" t="s">
        <v>175</v>
      </c>
      <c r="C125" s="6" t="s">
        <v>160</v>
      </c>
      <c r="D125" s="6" t="s">
        <v>159</v>
      </c>
      <c r="E125" s="18" t="s">
        <v>293</v>
      </c>
      <c r="F125" s="8">
        <v>1</v>
      </c>
      <c r="G125" s="17" t="str">
        <f t="shared" si="6"/>
        <v xml:space="preserve">Σμαράγδα </v>
      </c>
      <c r="H125" s="17" t="str">
        <f t="shared" si="7"/>
        <v>Μανδύλα</v>
      </c>
      <c r="I125" s="1" t="s">
        <v>112</v>
      </c>
      <c r="J125" s="20" t="s">
        <v>482</v>
      </c>
      <c r="K125" s="20" t="s">
        <v>391</v>
      </c>
      <c r="L125" s="1" t="s">
        <v>46</v>
      </c>
      <c r="M125" s="1" t="s">
        <v>22</v>
      </c>
    </row>
    <row r="126" spans="1:13" ht="15" customHeight="1" x14ac:dyDescent="0.2">
      <c r="A126" s="1">
        <v>35</v>
      </c>
      <c r="B126" s="6" t="s">
        <v>176</v>
      </c>
      <c r="C126" s="6" t="s">
        <v>155</v>
      </c>
      <c r="D126" s="6" t="s">
        <v>159</v>
      </c>
      <c r="E126" s="18" t="s">
        <v>294</v>
      </c>
      <c r="F126" s="8">
        <v>1</v>
      </c>
      <c r="G126" s="17" t="str">
        <f t="shared" si="6"/>
        <v xml:space="preserve">Γεώργιος </v>
      </c>
      <c r="H126" s="17" t="str">
        <f t="shared" si="7"/>
        <v>Μακρής</v>
      </c>
      <c r="I126" s="1" t="s">
        <v>54</v>
      </c>
      <c r="J126" s="20" t="s">
        <v>517</v>
      </c>
      <c r="K126" s="20" t="s">
        <v>435</v>
      </c>
      <c r="L126" s="1" t="s">
        <v>62</v>
      </c>
      <c r="M126" s="1" t="s">
        <v>93</v>
      </c>
    </row>
    <row r="127" spans="1:13" ht="15" customHeight="1" x14ac:dyDescent="0.2">
      <c r="A127" s="1">
        <v>40</v>
      </c>
      <c r="B127" s="6" t="s">
        <v>176</v>
      </c>
      <c r="C127" s="6" t="s">
        <v>155</v>
      </c>
      <c r="D127" s="6" t="s">
        <v>159</v>
      </c>
      <c r="E127" s="18" t="s">
        <v>295</v>
      </c>
      <c r="F127" s="8">
        <v>1</v>
      </c>
      <c r="G127" s="17" t="str">
        <f t="shared" si="6"/>
        <v xml:space="preserve">Άρης </v>
      </c>
      <c r="H127" s="17" t="str">
        <f t="shared" si="7"/>
        <v>Καραγιώργος</v>
      </c>
      <c r="I127" s="1" t="s">
        <v>55</v>
      </c>
      <c r="J127" s="20" t="s">
        <v>518</v>
      </c>
      <c r="K127" s="20" t="s">
        <v>436</v>
      </c>
      <c r="L127" s="1" t="s">
        <v>62</v>
      </c>
      <c r="M127" s="1" t="s">
        <v>93</v>
      </c>
    </row>
    <row r="128" spans="1:13" ht="15" customHeight="1" x14ac:dyDescent="0.2">
      <c r="A128" s="1">
        <v>45</v>
      </c>
      <c r="B128" s="6" t="s">
        <v>176</v>
      </c>
      <c r="C128" s="6" t="s">
        <v>155</v>
      </c>
      <c r="D128" s="6" t="s">
        <v>159</v>
      </c>
      <c r="E128" s="18" t="s">
        <v>296</v>
      </c>
      <c r="F128" s="8">
        <v>1</v>
      </c>
      <c r="G128" s="17" t="str">
        <f t="shared" si="6"/>
        <v xml:space="preserve">Χρήστος </v>
      </c>
      <c r="H128" s="17" t="str">
        <f t="shared" si="7"/>
        <v>Καραγιώργος</v>
      </c>
      <c r="I128" s="1" t="s">
        <v>56</v>
      </c>
      <c r="J128" s="20" t="s">
        <v>519</v>
      </c>
      <c r="K128" s="8" t="s">
        <v>367</v>
      </c>
      <c r="L128" s="1" t="s">
        <v>62</v>
      </c>
      <c r="M128" s="1" t="s">
        <v>93</v>
      </c>
    </row>
    <row r="129" spans="1:14" ht="15" customHeight="1" x14ac:dyDescent="0.2">
      <c r="A129" s="1">
        <v>50</v>
      </c>
      <c r="B129" s="6" t="s">
        <v>176</v>
      </c>
      <c r="C129" s="6" t="s">
        <v>155</v>
      </c>
      <c r="D129" s="6" t="s">
        <v>159</v>
      </c>
      <c r="E129" s="18" t="s">
        <v>297</v>
      </c>
      <c r="F129" s="8">
        <v>1</v>
      </c>
      <c r="G129" s="17" t="str">
        <f t="shared" si="6"/>
        <v xml:space="preserve">Άρης </v>
      </c>
      <c r="H129" s="17" t="str">
        <f t="shared" si="7"/>
        <v>Καραγιώργος</v>
      </c>
      <c r="I129" s="1" t="s">
        <v>55</v>
      </c>
      <c r="J129" s="20" t="s">
        <v>518</v>
      </c>
      <c r="K129" s="20" t="s">
        <v>437</v>
      </c>
      <c r="L129" s="1" t="s">
        <v>62</v>
      </c>
      <c r="M129" s="1" t="s">
        <v>93</v>
      </c>
    </row>
    <row r="130" spans="1:14" ht="15" customHeight="1" x14ac:dyDescent="0.2">
      <c r="A130" s="1">
        <v>55</v>
      </c>
      <c r="B130" s="6" t="s">
        <v>176</v>
      </c>
      <c r="C130" s="6" t="s">
        <v>155</v>
      </c>
      <c r="D130" s="6" t="s">
        <v>159</v>
      </c>
      <c r="E130" s="18" t="s">
        <v>298</v>
      </c>
      <c r="F130" s="8">
        <v>1</v>
      </c>
      <c r="G130" s="17" t="str">
        <f t="shared" ref="G130:G166" si="8">LEFT(I130,FIND(" ",I130))</f>
        <v xml:space="preserve">Δημήτριος </v>
      </c>
      <c r="H130" s="17" t="str">
        <f t="shared" ref="H130:H161" si="9">MID(I130,FIND(" ",I130)+1,LEN(I130)-LEN(G130))</f>
        <v>Κελεπούρης</v>
      </c>
      <c r="I130" s="1" t="s">
        <v>57</v>
      </c>
      <c r="J130" s="20" t="s">
        <v>520</v>
      </c>
      <c r="K130" s="20" t="s">
        <v>372</v>
      </c>
      <c r="L130" s="1" t="s">
        <v>20</v>
      </c>
      <c r="M130" s="1" t="s">
        <v>22</v>
      </c>
    </row>
    <row r="131" spans="1:14" ht="15" customHeight="1" x14ac:dyDescent="0.2">
      <c r="A131" s="1">
        <v>60</v>
      </c>
      <c r="B131" s="6" t="s">
        <v>176</v>
      </c>
      <c r="C131" s="6" t="s">
        <v>155</v>
      </c>
      <c r="D131" s="6" t="s">
        <v>159</v>
      </c>
      <c r="E131" s="18" t="s">
        <v>299</v>
      </c>
      <c r="F131" s="8">
        <v>1</v>
      </c>
      <c r="G131" s="17" t="str">
        <f t="shared" si="8"/>
        <v xml:space="preserve">Γεώργιος </v>
      </c>
      <c r="H131" s="17" t="str">
        <f t="shared" si="9"/>
        <v>Φακιολάς</v>
      </c>
      <c r="I131" s="1" t="s">
        <v>104</v>
      </c>
      <c r="J131" s="20" t="s">
        <v>521</v>
      </c>
      <c r="K131" s="8" t="s">
        <v>362</v>
      </c>
      <c r="L131" s="1" t="s">
        <v>62</v>
      </c>
      <c r="M131" s="1" t="s">
        <v>93</v>
      </c>
    </row>
    <row r="132" spans="1:14" ht="15" customHeight="1" x14ac:dyDescent="0.2">
      <c r="A132" s="1">
        <v>65</v>
      </c>
      <c r="B132" s="6" t="s">
        <v>176</v>
      </c>
      <c r="C132" s="6" t="s">
        <v>155</v>
      </c>
      <c r="D132" s="6" t="s">
        <v>159</v>
      </c>
      <c r="E132" s="18" t="s">
        <v>300</v>
      </c>
      <c r="F132" s="8">
        <v>1</v>
      </c>
      <c r="G132" s="17" t="str">
        <f t="shared" si="8"/>
        <v xml:space="preserve">Ηρακλής </v>
      </c>
      <c r="H132" s="17" t="str">
        <f t="shared" si="9"/>
        <v>Βασιλειάδης</v>
      </c>
      <c r="I132" s="1" t="s">
        <v>58</v>
      </c>
      <c r="J132" s="20" t="s">
        <v>522</v>
      </c>
      <c r="K132" s="20" t="s">
        <v>438</v>
      </c>
      <c r="L132" s="1" t="s">
        <v>62</v>
      </c>
      <c r="M132" s="1" t="s">
        <v>93</v>
      </c>
    </row>
    <row r="133" spans="1:14" ht="15" customHeight="1" x14ac:dyDescent="0.2">
      <c r="A133" s="1">
        <v>70</v>
      </c>
      <c r="B133" s="6" t="s">
        <v>176</v>
      </c>
      <c r="C133" s="6" t="s">
        <v>155</v>
      </c>
      <c r="D133" s="6" t="s">
        <v>159</v>
      </c>
      <c r="E133" s="18" t="s">
        <v>301</v>
      </c>
      <c r="F133" s="8">
        <v>1</v>
      </c>
      <c r="G133" s="17" t="str">
        <f t="shared" si="8"/>
        <v xml:space="preserve">Χαράλαμπος </v>
      </c>
      <c r="H133" s="17" t="str">
        <f t="shared" si="9"/>
        <v>Τοκατλίδης</v>
      </c>
      <c r="I133" s="1" t="s">
        <v>59</v>
      </c>
      <c r="J133" s="20" t="s">
        <v>523</v>
      </c>
      <c r="K133" s="20" t="s">
        <v>374</v>
      </c>
      <c r="L133" s="1" t="s">
        <v>20</v>
      </c>
      <c r="M133" s="1" t="s">
        <v>22</v>
      </c>
    </row>
    <row r="134" spans="1:14" ht="15" customHeight="1" x14ac:dyDescent="0.2">
      <c r="A134" s="1">
        <v>75</v>
      </c>
      <c r="B134" s="6" t="s">
        <v>176</v>
      </c>
      <c r="C134" s="6" t="s">
        <v>155</v>
      </c>
      <c r="D134" s="6" t="s">
        <v>159</v>
      </c>
      <c r="E134" s="18" t="s">
        <v>302</v>
      </c>
      <c r="F134" s="8">
        <v>1</v>
      </c>
      <c r="G134" s="17" t="str">
        <f t="shared" si="8"/>
        <v xml:space="preserve">Ιωάννης </v>
      </c>
      <c r="H134" s="17" t="str">
        <f t="shared" si="9"/>
        <v>Κυρδήμος</v>
      </c>
      <c r="I134" s="1" t="s">
        <v>42</v>
      </c>
      <c r="J134" s="20" t="s">
        <v>505</v>
      </c>
      <c r="K134" s="20" t="s">
        <v>372</v>
      </c>
      <c r="L134" s="1" t="s">
        <v>20</v>
      </c>
      <c r="M134" s="1" t="s">
        <v>22</v>
      </c>
    </row>
    <row r="135" spans="1:14" ht="15" customHeight="1" x14ac:dyDescent="0.2">
      <c r="A135" s="1">
        <v>80</v>
      </c>
      <c r="B135" s="6" t="s">
        <v>176</v>
      </c>
      <c r="C135" s="6" t="s">
        <v>155</v>
      </c>
      <c r="D135" s="6" t="s">
        <v>159</v>
      </c>
      <c r="E135" s="18" t="s">
        <v>303</v>
      </c>
      <c r="F135" s="8">
        <v>1</v>
      </c>
      <c r="G135" s="17" t="str">
        <f t="shared" si="8"/>
        <v xml:space="preserve">Παναγιώτης </v>
      </c>
      <c r="H135" s="17" t="str">
        <f t="shared" si="9"/>
        <v>Δούσης</v>
      </c>
      <c r="I135" s="1" t="s">
        <v>44</v>
      </c>
      <c r="J135" s="20" t="s">
        <v>498</v>
      </c>
      <c r="K135" s="20" t="s">
        <v>426</v>
      </c>
      <c r="L135" s="1" t="s">
        <v>43</v>
      </c>
      <c r="M135" s="1" t="s">
        <v>22</v>
      </c>
    </row>
    <row r="136" spans="1:14" ht="15" customHeight="1" x14ac:dyDescent="0.2">
      <c r="A136" s="1">
        <v>85</v>
      </c>
      <c r="B136" s="6" t="s">
        <v>176</v>
      </c>
      <c r="C136" s="6" t="s">
        <v>155</v>
      </c>
      <c r="D136" s="6" t="s">
        <v>159</v>
      </c>
      <c r="E136" s="18" t="s">
        <v>304</v>
      </c>
      <c r="F136" s="8">
        <v>1</v>
      </c>
      <c r="G136" s="17" t="str">
        <f t="shared" si="8"/>
        <v xml:space="preserve">Παναγιώτης </v>
      </c>
      <c r="H136" s="17" t="str">
        <f t="shared" si="9"/>
        <v>Δούσης</v>
      </c>
      <c r="I136" s="1" t="s">
        <v>44</v>
      </c>
      <c r="J136" s="20" t="s">
        <v>498</v>
      </c>
      <c r="K136" s="20" t="s">
        <v>439</v>
      </c>
      <c r="L136" s="1" t="s">
        <v>46</v>
      </c>
      <c r="M136" s="1" t="s">
        <v>22</v>
      </c>
    </row>
    <row r="137" spans="1:14" ht="15" customHeight="1" x14ac:dyDescent="0.2">
      <c r="A137" s="1">
        <v>90</v>
      </c>
      <c r="B137" s="6" t="s">
        <v>176</v>
      </c>
      <c r="C137" s="6" t="s">
        <v>155</v>
      </c>
      <c r="D137" s="6" t="s">
        <v>159</v>
      </c>
      <c r="E137" s="18" t="s">
        <v>305</v>
      </c>
      <c r="F137" s="8">
        <v>1</v>
      </c>
      <c r="G137" s="17" t="str">
        <f t="shared" si="8"/>
        <v xml:space="preserve">Παναγιώτης </v>
      </c>
      <c r="H137" s="17" t="str">
        <f t="shared" si="9"/>
        <v>Δούσης</v>
      </c>
      <c r="I137" s="1" t="s">
        <v>44</v>
      </c>
      <c r="J137" s="20" t="s">
        <v>498</v>
      </c>
      <c r="K137" s="20" t="s">
        <v>440</v>
      </c>
      <c r="L137" s="1" t="s">
        <v>11</v>
      </c>
      <c r="M137" s="1" t="s">
        <v>30</v>
      </c>
    </row>
    <row r="138" spans="1:14" ht="15" customHeight="1" x14ac:dyDescent="0.2">
      <c r="A138" s="1">
        <v>35</v>
      </c>
      <c r="B138" s="6" t="s">
        <v>176</v>
      </c>
      <c r="C138" s="6" t="s">
        <v>160</v>
      </c>
      <c r="D138" s="6" t="s">
        <v>159</v>
      </c>
      <c r="E138" s="18" t="s">
        <v>306</v>
      </c>
      <c r="F138" s="8">
        <v>1</v>
      </c>
      <c r="G138" s="17" t="str">
        <f t="shared" si="8"/>
        <v xml:space="preserve">Αντιγόνη </v>
      </c>
      <c r="H138" s="17" t="str">
        <f t="shared" si="9"/>
        <v>Ντρισμπιώτη</v>
      </c>
      <c r="I138" s="1" t="s">
        <v>86</v>
      </c>
      <c r="J138" s="20" t="s">
        <v>524</v>
      </c>
      <c r="K138" s="20" t="s">
        <v>441</v>
      </c>
      <c r="L138" s="1" t="s">
        <v>62</v>
      </c>
      <c r="M138" s="1" t="s">
        <v>26</v>
      </c>
    </row>
    <row r="139" spans="1:14" ht="15" customHeight="1" x14ac:dyDescent="0.2">
      <c r="A139" s="1">
        <v>40</v>
      </c>
      <c r="B139" s="6" t="s">
        <v>176</v>
      </c>
      <c r="C139" s="6" t="s">
        <v>160</v>
      </c>
      <c r="D139" s="6" t="s">
        <v>159</v>
      </c>
      <c r="E139" s="18" t="s">
        <v>307</v>
      </c>
      <c r="F139" s="8">
        <v>1</v>
      </c>
      <c r="G139" s="17" t="str">
        <f t="shared" si="8"/>
        <v xml:space="preserve">Αγγελική </v>
      </c>
      <c r="H139" s="17" t="str">
        <f t="shared" si="9"/>
        <v>Μακρή</v>
      </c>
      <c r="I139" s="1" t="s">
        <v>68</v>
      </c>
      <c r="J139" s="20" t="s">
        <v>525</v>
      </c>
      <c r="K139" s="20" t="s">
        <v>442</v>
      </c>
      <c r="L139" s="1" t="s">
        <v>62</v>
      </c>
      <c r="M139" s="1" t="s">
        <v>26</v>
      </c>
    </row>
    <row r="140" spans="1:14" ht="15" customHeight="1" x14ac:dyDescent="0.2">
      <c r="A140" s="1">
        <v>45</v>
      </c>
      <c r="B140" s="6" t="s">
        <v>176</v>
      </c>
      <c r="C140" s="6" t="s">
        <v>160</v>
      </c>
      <c r="D140" s="6" t="s">
        <v>159</v>
      </c>
      <c r="E140" s="18" t="s">
        <v>308</v>
      </c>
      <c r="F140" s="8">
        <v>1</v>
      </c>
      <c r="G140" s="17" t="str">
        <f t="shared" si="8"/>
        <v xml:space="preserve">Καλλιόπη </v>
      </c>
      <c r="H140" s="17" t="str">
        <f t="shared" si="9"/>
        <v>Γαβαλάκη</v>
      </c>
      <c r="I140" s="1" t="s">
        <v>69</v>
      </c>
      <c r="J140" s="20" t="s">
        <v>526</v>
      </c>
      <c r="K140" s="20" t="s">
        <v>412</v>
      </c>
      <c r="L140" s="1" t="s">
        <v>46</v>
      </c>
      <c r="M140" s="1" t="s">
        <v>22</v>
      </c>
    </row>
    <row r="141" spans="1:14" ht="15" customHeight="1" x14ac:dyDescent="0.2">
      <c r="A141" s="1">
        <v>50</v>
      </c>
      <c r="B141" s="6" t="s">
        <v>176</v>
      </c>
      <c r="C141" s="6" t="s">
        <v>160</v>
      </c>
      <c r="D141" s="6" t="s">
        <v>159</v>
      </c>
      <c r="E141" s="18" t="s">
        <v>309</v>
      </c>
      <c r="F141" s="8">
        <v>1</v>
      </c>
      <c r="G141" s="17" t="str">
        <f t="shared" si="8"/>
        <v xml:space="preserve">Καλλιόπη </v>
      </c>
      <c r="H141" s="17" t="str">
        <f t="shared" si="9"/>
        <v>Γαβαλάκη</v>
      </c>
      <c r="I141" s="1" t="s">
        <v>69</v>
      </c>
      <c r="J141" s="20" t="s">
        <v>526</v>
      </c>
      <c r="K141" s="20" t="s">
        <v>402</v>
      </c>
      <c r="L141" s="1" t="s">
        <v>11</v>
      </c>
      <c r="M141" s="1" t="s">
        <v>10</v>
      </c>
    </row>
    <row r="142" spans="1:14" ht="15" customHeight="1" x14ac:dyDescent="0.2">
      <c r="A142" s="1">
        <v>55</v>
      </c>
      <c r="B142" s="6" t="s">
        <v>176</v>
      </c>
      <c r="C142" s="6" t="s">
        <v>160</v>
      </c>
      <c r="D142" s="6" t="s">
        <v>159</v>
      </c>
      <c r="E142" s="18" t="s">
        <v>310</v>
      </c>
      <c r="F142" s="8">
        <v>1</v>
      </c>
      <c r="G142" s="17" t="str">
        <f t="shared" si="8"/>
        <v xml:space="preserve">Καλλιόπη </v>
      </c>
      <c r="H142" s="17" t="str">
        <f t="shared" si="9"/>
        <v>Γαβαλάκη</v>
      </c>
      <c r="I142" s="1" t="s">
        <v>69</v>
      </c>
      <c r="J142" s="20" t="s">
        <v>526</v>
      </c>
      <c r="K142" s="20" t="s">
        <v>443</v>
      </c>
      <c r="L142" s="1" t="s">
        <v>11</v>
      </c>
      <c r="M142" s="1" t="s">
        <v>10</v>
      </c>
    </row>
    <row r="143" spans="1:14" ht="15" customHeight="1" x14ac:dyDescent="0.2">
      <c r="A143" s="1">
        <v>60</v>
      </c>
      <c r="B143" s="6" t="s">
        <v>176</v>
      </c>
      <c r="C143" s="6" t="s">
        <v>160</v>
      </c>
      <c r="D143" s="6" t="s">
        <v>159</v>
      </c>
      <c r="E143" s="18" t="s">
        <v>311</v>
      </c>
      <c r="F143" s="8">
        <v>1</v>
      </c>
      <c r="G143" s="17" t="str">
        <f t="shared" si="8"/>
        <v xml:space="preserve">Μόνικα </v>
      </c>
      <c r="H143" s="17" t="str">
        <f t="shared" si="9"/>
        <v>Μωυσίδου</v>
      </c>
      <c r="I143" s="1" t="s">
        <v>70</v>
      </c>
      <c r="K143" s="20" t="s">
        <v>435</v>
      </c>
      <c r="L143" s="1" t="s">
        <v>62</v>
      </c>
    </row>
    <row r="144" spans="1:14" ht="15" customHeight="1" x14ac:dyDescent="0.2">
      <c r="A144" s="1">
        <v>35</v>
      </c>
      <c r="B144" s="6" t="s">
        <v>169</v>
      </c>
      <c r="C144" s="6" t="s">
        <v>155</v>
      </c>
      <c r="D144" s="6" t="s">
        <v>159</v>
      </c>
      <c r="E144" s="18" t="s">
        <v>312</v>
      </c>
      <c r="F144" s="8">
        <v>1</v>
      </c>
      <c r="G144" s="17" t="str">
        <f t="shared" si="8"/>
        <v xml:space="preserve">Κωνσταντίνος </v>
      </c>
      <c r="H144" s="17" t="str">
        <f t="shared" si="9"/>
        <v>Δουβαλίδης</v>
      </c>
      <c r="I144" s="1" t="s">
        <v>119</v>
      </c>
      <c r="J144" s="20" t="s">
        <v>527</v>
      </c>
      <c r="K144" s="20" t="s">
        <v>418</v>
      </c>
      <c r="L144" s="1" t="s">
        <v>62</v>
      </c>
      <c r="M144" s="1" t="s">
        <v>93</v>
      </c>
      <c r="N144" s="1" t="s">
        <v>337</v>
      </c>
    </row>
    <row r="145" spans="1:14" ht="15" customHeight="1" x14ac:dyDescent="0.2">
      <c r="A145" s="1">
        <v>40</v>
      </c>
      <c r="B145" s="6" t="s">
        <v>169</v>
      </c>
      <c r="C145" s="6" t="s">
        <v>155</v>
      </c>
      <c r="D145" s="6" t="s">
        <v>159</v>
      </c>
      <c r="E145" s="18" t="s">
        <v>313</v>
      </c>
      <c r="F145" s="8">
        <v>2</v>
      </c>
      <c r="G145" s="17" t="str">
        <f t="shared" si="8"/>
        <v xml:space="preserve">Ιωάννης </v>
      </c>
      <c r="H145" s="17" t="str">
        <f t="shared" si="9"/>
        <v>Κερασίδης</v>
      </c>
      <c r="I145" s="1" t="s">
        <v>51</v>
      </c>
      <c r="J145" s="20" t="s">
        <v>528</v>
      </c>
      <c r="K145" s="20" t="s">
        <v>444</v>
      </c>
      <c r="L145" s="1" t="s">
        <v>33</v>
      </c>
      <c r="M145" s="1" t="s">
        <v>10</v>
      </c>
      <c r="N145" s="1" t="s">
        <v>338</v>
      </c>
    </row>
    <row r="146" spans="1:14" ht="15" customHeight="1" x14ac:dyDescent="0.2">
      <c r="A146" s="1">
        <v>40</v>
      </c>
      <c r="B146" s="6" t="s">
        <v>169</v>
      </c>
      <c r="C146" s="6" t="s">
        <v>155</v>
      </c>
      <c r="D146" s="6" t="s">
        <v>159</v>
      </c>
      <c r="E146" s="18" t="s">
        <v>313</v>
      </c>
      <c r="F146" s="8">
        <v>2</v>
      </c>
      <c r="G146" s="17" t="str">
        <f t="shared" si="8"/>
        <v xml:space="preserve">Μιχαήλ </v>
      </c>
      <c r="H146" s="17" t="str">
        <f t="shared" si="9"/>
        <v xml:space="preserve">Μαλατίδης	 </v>
      </c>
      <c r="I146" s="1" t="s">
        <v>335</v>
      </c>
      <c r="J146" s="20" t="s">
        <v>529</v>
      </c>
      <c r="K146" s="20" t="s">
        <v>445</v>
      </c>
      <c r="L146" s="1" t="s">
        <v>5</v>
      </c>
      <c r="N146" s="1" t="s">
        <v>338</v>
      </c>
    </row>
    <row r="147" spans="1:14" ht="15" customHeight="1" x14ac:dyDescent="0.2">
      <c r="A147" s="1">
        <v>45</v>
      </c>
      <c r="B147" s="6" t="s">
        <v>169</v>
      </c>
      <c r="C147" s="6" t="s">
        <v>155</v>
      </c>
      <c r="D147" s="6" t="s">
        <v>159</v>
      </c>
      <c r="E147" s="19" t="s">
        <v>186</v>
      </c>
      <c r="F147" s="8">
        <v>1</v>
      </c>
      <c r="G147" s="17" t="str">
        <f t="shared" si="8"/>
        <v xml:space="preserve">Μιχαήλ </v>
      </c>
      <c r="H147" s="17" t="str">
        <f t="shared" si="9"/>
        <v xml:space="preserve">Μαλατίδης	 </v>
      </c>
      <c r="I147" s="1" t="s">
        <v>335</v>
      </c>
      <c r="J147" s="20" t="s">
        <v>529</v>
      </c>
      <c r="K147" s="20" t="s">
        <v>446</v>
      </c>
      <c r="L147" s="1" t="s">
        <v>62</v>
      </c>
      <c r="M147" s="1" t="s">
        <v>93</v>
      </c>
      <c r="N147" s="1" t="s">
        <v>339</v>
      </c>
    </row>
    <row r="148" spans="1:14" ht="15" customHeight="1" x14ac:dyDescent="0.2">
      <c r="A148" s="1">
        <v>50</v>
      </c>
      <c r="B148" s="6" t="s">
        <v>169</v>
      </c>
      <c r="C148" s="6" t="s">
        <v>155</v>
      </c>
      <c r="D148" s="6" t="s">
        <v>159</v>
      </c>
      <c r="E148" s="18" t="s">
        <v>314</v>
      </c>
      <c r="F148" s="8">
        <v>2</v>
      </c>
      <c r="G148" s="17" t="str">
        <f t="shared" si="8"/>
        <v xml:space="preserve">Μιχαήλ </v>
      </c>
      <c r="H148" s="17" t="str">
        <f t="shared" si="9"/>
        <v xml:space="preserve">Μαλατίδης	 </v>
      </c>
      <c r="I148" s="1" t="s">
        <v>335</v>
      </c>
      <c r="J148" s="20" t="s">
        <v>529</v>
      </c>
      <c r="K148" s="8" t="s">
        <v>400</v>
      </c>
      <c r="L148" s="1" t="s">
        <v>31</v>
      </c>
      <c r="M148" s="1" t="s">
        <v>30</v>
      </c>
      <c r="N148" s="1" t="s">
        <v>340</v>
      </c>
    </row>
    <row r="149" spans="1:14" ht="15" customHeight="1" x14ac:dyDescent="0.2">
      <c r="A149" s="1">
        <v>50</v>
      </c>
      <c r="B149" s="6" t="s">
        <v>169</v>
      </c>
      <c r="C149" s="6" t="s">
        <v>155</v>
      </c>
      <c r="D149" s="6" t="s">
        <v>159</v>
      </c>
      <c r="E149" s="18" t="s">
        <v>187</v>
      </c>
      <c r="F149" s="8">
        <v>2</v>
      </c>
      <c r="G149" s="17" t="str">
        <f t="shared" si="8"/>
        <v xml:space="preserve">Μιχαήλ </v>
      </c>
      <c r="H149" s="17" t="str">
        <f t="shared" si="9"/>
        <v xml:space="preserve">Μαλατίδης	 </v>
      </c>
      <c r="I149" s="1" t="s">
        <v>335</v>
      </c>
      <c r="J149" s="20" t="s">
        <v>529</v>
      </c>
      <c r="K149" s="20" t="s">
        <v>447</v>
      </c>
      <c r="L149" s="1" t="s">
        <v>62</v>
      </c>
      <c r="M149" s="1" t="s">
        <v>93</v>
      </c>
      <c r="N149" s="1" t="s">
        <v>340</v>
      </c>
    </row>
    <row r="150" spans="1:14" ht="15" customHeight="1" x14ac:dyDescent="0.2">
      <c r="A150" s="1">
        <v>55</v>
      </c>
      <c r="B150" s="6" t="s">
        <v>169</v>
      </c>
      <c r="C150" s="6" t="s">
        <v>155</v>
      </c>
      <c r="D150" s="6" t="s">
        <v>159</v>
      </c>
      <c r="E150" s="19" t="s">
        <v>188</v>
      </c>
      <c r="F150" s="8">
        <v>2</v>
      </c>
      <c r="G150" s="17" t="str">
        <f t="shared" si="8"/>
        <v xml:space="preserve">Ιωάννης </v>
      </c>
      <c r="H150" s="17" t="str">
        <f t="shared" si="9"/>
        <v>Μπέλλος</v>
      </c>
      <c r="I150" s="1" t="s">
        <v>52</v>
      </c>
      <c r="J150" s="20" t="s">
        <v>463</v>
      </c>
      <c r="K150" s="8" t="s">
        <v>395</v>
      </c>
      <c r="L150" s="1" t="s">
        <v>62</v>
      </c>
      <c r="M150" s="1" t="s">
        <v>93</v>
      </c>
      <c r="N150" s="1" t="s">
        <v>341</v>
      </c>
    </row>
    <row r="151" spans="1:14" ht="15" customHeight="1" x14ac:dyDescent="0.2">
      <c r="A151" s="1">
        <v>55</v>
      </c>
      <c r="B151" s="6" t="s">
        <v>169</v>
      </c>
      <c r="C151" s="6" t="s">
        <v>155</v>
      </c>
      <c r="D151" s="6" t="s">
        <v>159</v>
      </c>
      <c r="E151" s="18" t="s">
        <v>315</v>
      </c>
      <c r="F151" s="8">
        <v>2</v>
      </c>
      <c r="G151" s="17" t="str">
        <f t="shared" si="8"/>
        <v xml:space="preserve">Νικόλαος </v>
      </c>
      <c r="H151" s="17" t="str">
        <f t="shared" si="9"/>
        <v>Αρβανίτης</v>
      </c>
      <c r="I151" s="1" t="s">
        <v>61</v>
      </c>
      <c r="J151" s="20" t="s">
        <v>530</v>
      </c>
      <c r="K151" s="20" t="s">
        <v>364</v>
      </c>
      <c r="L151" s="1" t="s">
        <v>73</v>
      </c>
      <c r="M151" s="14" t="s">
        <v>89</v>
      </c>
      <c r="N151" s="1" t="s">
        <v>341</v>
      </c>
    </row>
    <row r="152" spans="1:14" ht="15" customHeight="1" x14ac:dyDescent="0.2">
      <c r="A152" s="1">
        <v>60</v>
      </c>
      <c r="B152" s="6" t="s">
        <v>169</v>
      </c>
      <c r="C152" s="6" t="s">
        <v>155</v>
      </c>
      <c r="D152" s="6" t="s">
        <v>159</v>
      </c>
      <c r="E152" s="18" t="s">
        <v>316</v>
      </c>
      <c r="F152" s="8">
        <v>2</v>
      </c>
      <c r="G152" s="17" t="str">
        <f t="shared" si="8"/>
        <v xml:space="preserve">Ιωάννης </v>
      </c>
      <c r="H152" s="17" t="str">
        <f t="shared" si="9"/>
        <v>Μπέλλος</v>
      </c>
      <c r="I152" s="1" t="s">
        <v>52</v>
      </c>
      <c r="J152" s="20" t="s">
        <v>463</v>
      </c>
      <c r="K152" s="8" t="s">
        <v>367</v>
      </c>
      <c r="L152" s="1" t="s">
        <v>113</v>
      </c>
      <c r="M152" s="1" t="s">
        <v>30</v>
      </c>
      <c r="N152" s="1" t="s">
        <v>342</v>
      </c>
    </row>
    <row r="153" spans="1:14" ht="15" customHeight="1" x14ac:dyDescent="0.2">
      <c r="A153" s="1">
        <v>60</v>
      </c>
      <c r="B153" s="6" t="s">
        <v>169</v>
      </c>
      <c r="C153" s="6" t="s">
        <v>155</v>
      </c>
      <c r="D153" s="6" t="s">
        <v>159</v>
      </c>
      <c r="E153" s="19" t="s">
        <v>188</v>
      </c>
      <c r="F153" s="8">
        <v>2</v>
      </c>
      <c r="G153" s="17" t="str">
        <f t="shared" si="8"/>
        <v xml:space="preserve">Ιωάννης </v>
      </c>
      <c r="H153" s="17" t="str">
        <f t="shared" si="9"/>
        <v>Μπέλλος</v>
      </c>
      <c r="I153" s="1" t="s">
        <v>52</v>
      </c>
      <c r="J153" s="20" t="s">
        <v>463</v>
      </c>
      <c r="K153" s="8" t="s">
        <v>363</v>
      </c>
      <c r="N153" s="1" t="s">
        <v>342</v>
      </c>
    </row>
    <row r="154" spans="1:14" ht="15" customHeight="1" x14ac:dyDescent="0.2">
      <c r="A154" s="1">
        <v>65</v>
      </c>
      <c r="B154" s="6" t="s">
        <v>169</v>
      </c>
      <c r="C154" s="6" t="s">
        <v>155</v>
      </c>
      <c r="D154" s="6" t="s">
        <v>159</v>
      </c>
      <c r="E154" s="18" t="s">
        <v>317</v>
      </c>
      <c r="F154" s="8">
        <v>1</v>
      </c>
      <c r="G154" s="17" t="str">
        <f t="shared" si="8"/>
        <v xml:space="preserve">Ιωάννης </v>
      </c>
      <c r="H154" s="17" t="str">
        <f t="shared" si="9"/>
        <v>Μπέλλος</v>
      </c>
      <c r="I154" s="1" t="s">
        <v>52</v>
      </c>
      <c r="J154" s="20" t="s">
        <v>463</v>
      </c>
      <c r="K154" s="20" t="s">
        <v>448</v>
      </c>
      <c r="L154" s="1" t="s">
        <v>53</v>
      </c>
      <c r="M154" s="1" t="s">
        <v>30</v>
      </c>
      <c r="N154" s="1" t="s">
        <v>343</v>
      </c>
    </row>
    <row r="155" spans="1:14" ht="15" customHeight="1" x14ac:dyDescent="0.2">
      <c r="A155" s="1">
        <v>70</v>
      </c>
      <c r="B155" s="6" t="s">
        <v>169</v>
      </c>
      <c r="C155" s="6" t="s">
        <v>155</v>
      </c>
      <c r="D155" s="6" t="s">
        <v>159</v>
      </c>
      <c r="E155" s="18" t="s">
        <v>318</v>
      </c>
      <c r="F155" s="8">
        <v>1</v>
      </c>
      <c r="G155" s="17" t="str">
        <f t="shared" si="8"/>
        <v xml:space="preserve">Ιωάννης </v>
      </c>
      <c r="H155" s="17" t="str">
        <f t="shared" si="9"/>
        <v>Μπέλλος</v>
      </c>
      <c r="I155" s="1" t="s">
        <v>52</v>
      </c>
      <c r="J155" s="20" t="s">
        <v>463</v>
      </c>
      <c r="K155" s="20" t="s">
        <v>449</v>
      </c>
      <c r="L155" s="1" t="s">
        <v>33</v>
      </c>
      <c r="M155" s="1" t="s">
        <v>10</v>
      </c>
      <c r="N155" s="1" t="s">
        <v>344</v>
      </c>
    </row>
    <row r="156" spans="1:14" ht="15" customHeight="1" x14ac:dyDescent="0.2">
      <c r="A156" s="1">
        <v>75</v>
      </c>
      <c r="B156" s="6" t="s">
        <v>169</v>
      </c>
      <c r="C156" s="6" t="s">
        <v>155</v>
      </c>
      <c r="D156" s="6" t="s">
        <v>159</v>
      </c>
      <c r="E156" s="18" t="s">
        <v>203</v>
      </c>
      <c r="F156" s="8">
        <v>2</v>
      </c>
      <c r="G156" s="17" t="str">
        <f t="shared" si="8"/>
        <v xml:space="preserve">Ιωάννης </v>
      </c>
      <c r="H156" s="17" t="str">
        <f t="shared" si="9"/>
        <v>Μπέλλος</v>
      </c>
      <c r="I156" s="1" t="s">
        <v>52</v>
      </c>
      <c r="J156" s="20" t="s">
        <v>463</v>
      </c>
      <c r="K156" s="8" t="s">
        <v>450</v>
      </c>
      <c r="L156" s="1" t="s">
        <v>60</v>
      </c>
      <c r="M156" s="1" t="s">
        <v>10</v>
      </c>
      <c r="N156" s="1" t="s">
        <v>345</v>
      </c>
    </row>
    <row r="157" spans="1:14" ht="15" customHeight="1" x14ac:dyDescent="0.2">
      <c r="A157" s="1">
        <v>75</v>
      </c>
      <c r="B157" s="6" t="s">
        <v>169</v>
      </c>
      <c r="C157" s="6" t="s">
        <v>155</v>
      </c>
      <c r="D157" s="6" t="s">
        <v>159</v>
      </c>
      <c r="E157" s="19" t="s">
        <v>189</v>
      </c>
      <c r="F157" s="8">
        <v>2</v>
      </c>
      <c r="G157" s="17" t="str">
        <f t="shared" si="8"/>
        <v xml:space="preserve">Ιωάννης </v>
      </c>
      <c r="H157" s="17" t="str">
        <f t="shared" si="9"/>
        <v>Μπέλλος</v>
      </c>
      <c r="I157" s="1" t="s">
        <v>52</v>
      </c>
      <c r="J157" s="20" t="s">
        <v>463</v>
      </c>
      <c r="K157" s="8" t="s">
        <v>359</v>
      </c>
      <c r="L157" s="1" t="s">
        <v>5</v>
      </c>
      <c r="N157" s="1" t="s">
        <v>345</v>
      </c>
    </row>
    <row r="158" spans="1:14" ht="15" customHeight="1" x14ac:dyDescent="0.2">
      <c r="A158" s="1">
        <v>80</v>
      </c>
      <c r="B158" s="6" t="s">
        <v>169</v>
      </c>
      <c r="C158" s="6" t="s">
        <v>155</v>
      </c>
      <c r="D158" s="6" t="s">
        <v>159</v>
      </c>
      <c r="E158" s="18" t="s">
        <v>319</v>
      </c>
      <c r="F158" s="8">
        <v>1</v>
      </c>
      <c r="G158" s="17" t="str">
        <f t="shared" si="8"/>
        <v xml:space="preserve">Συμεών </v>
      </c>
      <c r="H158" s="17" t="str">
        <f t="shared" si="9"/>
        <v>Συμεωνίδης</v>
      </c>
      <c r="I158" s="1" t="s">
        <v>105</v>
      </c>
      <c r="J158" s="20" t="s">
        <v>531</v>
      </c>
      <c r="K158" s="20" t="s">
        <v>412</v>
      </c>
      <c r="L158" s="1" t="s">
        <v>46</v>
      </c>
      <c r="M158" s="1" t="s">
        <v>22</v>
      </c>
      <c r="N158" s="1" t="s">
        <v>346</v>
      </c>
    </row>
    <row r="159" spans="1:14" ht="15" customHeight="1" x14ac:dyDescent="0.2">
      <c r="A159" s="1">
        <v>35</v>
      </c>
      <c r="B159" s="6" t="s">
        <v>169</v>
      </c>
      <c r="C159" s="6" t="s">
        <v>160</v>
      </c>
      <c r="D159" s="6" t="s">
        <v>159</v>
      </c>
      <c r="E159" s="18" t="s">
        <v>320</v>
      </c>
      <c r="F159" s="8">
        <v>1</v>
      </c>
      <c r="G159" s="17" t="str">
        <f t="shared" si="8"/>
        <v xml:space="preserve">Σοφία </v>
      </c>
      <c r="H159" s="17" t="str">
        <f t="shared" si="9"/>
        <v>Υφαντίδου</v>
      </c>
      <c r="I159" s="1" t="s">
        <v>87</v>
      </c>
      <c r="J159" s="20" t="s">
        <v>532</v>
      </c>
      <c r="K159" s="20" t="s">
        <v>417</v>
      </c>
      <c r="L159" s="1" t="s">
        <v>62</v>
      </c>
      <c r="M159" s="5" t="s">
        <v>92</v>
      </c>
      <c r="N159" s="1" t="s">
        <v>347</v>
      </c>
    </row>
    <row r="160" spans="1:14" ht="15" customHeight="1" x14ac:dyDescent="0.2">
      <c r="A160" s="1">
        <v>40</v>
      </c>
      <c r="B160" s="6" t="s">
        <v>169</v>
      </c>
      <c r="C160" s="6" t="s">
        <v>160</v>
      </c>
      <c r="D160" s="6" t="s">
        <v>159</v>
      </c>
      <c r="E160" s="18" t="s">
        <v>321</v>
      </c>
      <c r="F160" s="8">
        <v>1</v>
      </c>
      <c r="G160" s="17" t="str">
        <f t="shared" si="8"/>
        <v xml:space="preserve">Φανή </v>
      </c>
      <c r="H160" s="17" t="str">
        <f t="shared" si="9"/>
        <v>Λύκου</v>
      </c>
      <c r="I160" s="14" t="s">
        <v>72</v>
      </c>
      <c r="J160" s="21" t="s">
        <v>466</v>
      </c>
      <c r="K160" s="21" t="s">
        <v>385</v>
      </c>
      <c r="L160" s="14" t="s">
        <v>20</v>
      </c>
      <c r="M160" s="14" t="s">
        <v>22</v>
      </c>
      <c r="N160" s="1" t="s">
        <v>348</v>
      </c>
    </row>
    <row r="161" spans="1:14" ht="15" customHeight="1" x14ac:dyDescent="0.2">
      <c r="A161" s="1">
        <v>45</v>
      </c>
      <c r="B161" s="6" t="s">
        <v>169</v>
      </c>
      <c r="C161" s="6" t="s">
        <v>160</v>
      </c>
      <c r="D161" s="6" t="s">
        <v>159</v>
      </c>
      <c r="E161" s="18" t="s">
        <v>322</v>
      </c>
      <c r="F161" s="8">
        <v>1</v>
      </c>
      <c r="G161" s="17" t="str">
        <f t="shared" si="8"/>
        <v xml:space="preserve">Χρυσούλα </v>
      </c>
      <c r="H161" s="17" t="str">
        <f t="shared" si="9"/>
        <v>Δημητροπούλου</v>
      </c>
      <c r="I161" s="1" t="s">
        <v>88</v>
      </c>
      <c r="J161" s="20" t="s">
        <v>533</v>
      </c>
      <c r="K161" s="20" t="s">
        <v>412</v>
      </c>
      <c r="L161" s="1" t="s">
        <v>46</v>
      </c>
      <c r="M161" s="1" t="s">
        <v>22</v>
      </c>
      <c r="N161" s="1" t="s">
        <v>349</v>
      </c>
    </row>
    <row r="162" spans="1:14" ht="15" customHeight="1" x14ac:dyDescent="0.2">
      <c r="A162" s="1">
        <v>50</v>
      </c>
      <c r="B162" s="6" t="s">
        <v>169</v>
      </c>
      <c r="C162" s="6" t="s">
        <v>160</v>
      </c>
      <c r="D162" s="6" t="s">
        <v>159</v>
      </c>
      <c r="E162" s="18" t="s">
        <v>190</v>
      </c>
      <c r="F162" s="8">
        <v>1</v>
      </c>
      <c r="G162" s="17" t="str">
        <f t="shared" si="8"/>
        <v xml:space="preserve">Μαρία </v>
      </c>
      <c r="H162" s="17" t="str">
        <f t="shared" ref="H162:H166" si="10">MID(I162,FIND(" ",I162)+1,LEN(I162)-LEN(G162))</f>
        <v>Μουρατίδου</v>
      </c>
      <c r="I162" s="1" t="s">
        <v>48</v>
      </c>
      <c r="J162" s="20" t="s">
        <v>468</v>
      </c>
      <c r="K162" s="20" t="s">
        <v>385</v>
      </c>
      <c r="L162" s="1" t="s">
        <v>20</v>
      </c>
      <c r="M162" s="1" t="s">
        <v>22</v>
      </c>
      <c r="N162" s="1" t="s">
        <v>350</v>
      </c>
    </row>
    <row r="163" spans="1:14" ht="15" customHeight="1" x14ac:dyDescent="0.2">
      <c r="A163" s="1">
        <v>55</v>
      </c>
      <c r="B163" s="6" t="s">
        <v>169</v>
      </c>
      <c r="C163" s="6" t="s">
        <v>160</v>
      </c>
      <c r="D163" s="6" t="s">
        <v>159</v>
      </c>
      <c r="E163" s="18" t="s">
        <v>323</v>
      </c>
      <c r="F163" s="8">
        <v>1</v>
      </c>
      <c r="G163" s="17" t="str">
        <f t="shared" si="8"/>
        <v xml:space="preserve">Μαρία </v>
      </c>
      <c r="H163" s="17" t="str">
        <f t="shared" si="10"/>
        <v>Μουρατίδου</v>
      </c>
      <c r="I163" s="1" t="s">
        <v>48</v>
      </c>
      <c r="J163" s="20" t="s">
        <v>468</v>
      </c>
      <c r="K163" s="20" t="s">
        <v>451</v>
      </c>
      <c r="L163" s="1" t="s">
        <v>11</v>
      </c>
      <c r="M163" s="1" t="s">
        <v>10</v>
      </c>
      <c r="N163" s="1" t="s">
        <v>351</v>
      </c>
    </row>
    <row r="164" spans="1:14" ht="15" customHeight="1" x14ac:dyDescent="0.2">
      <c r="A164" s="1">
        <v>60</v>
      </c>
      <c r="B164" s="6" t="s">
        <v>169</v>
      </c>
      <c r="C164" s="6" t="s">
        <v>160</v>
      </c>
      <c r="D164" s="6" t="s">
        <v>159</v>
      </c>
      <c r="E164" s="18" t="s">
        <v>324</v>
      </c>
      <c r="F164" s="8">
        <v>1</v>
      </c>
      <c r="G164" s="17" t="str">
        <f t="shared" si="8"/>
        <v xml:space="preserve">Ελένη </v>
      </c>
      <c r="H164" s="17" t="str">
        <f t="shared" si="10"/>
        <v>Γκούζια</v>
      </c>
      <c r="I164" s="1" t="s">
        <v>109</v>
      </c>
      <c r="J164" s="20" t="s">
        <v>470</v>
      </c>
      <c r="K164" s="8" t="s">
        <v>413</v>
      </c>
      <c r="L164" s="1" t="s">
        <v>64</v>
      </c>
      <c r="M164" s="1" t="s">
        <v>10</v>
      </c>
      <c r="N164" s="1" t="s">
        <v>352</v>
      </c>
    </row>
    <row r="165" spans="1:14" ht="15" customHeight="1" x14ac:dyDescent="0.2">
      <c r="A165" s="1">
        <v>65</v>
      </c>
      <c r="B165" s="6" t="s">
        <v>169</v>
      </c>
      <c r="C165" s="6" t="s">
        <v>160</v>
      </c>
      <c r="D165" s="6" t="s">
        <v>159</v>
      </c>
      <c r="E165" s="18" t="s">
        <v>325</v>
      </c>
      <c r="F165" s="8">
        <v>1</v>
      </c>
      <c r="G165" s="17" t="str">
        <f t="shared" si="8"/>
        <v xml:space="preserve">Ελένη </v>
      </c>
      <c r="H165" s="17" t="str">
        <f t="shared" si="10"/>
        <v>Γκούζια</v>
      </c>
      <c r="I165" s="1" t="s">
        <v>109</v>
      </c>
      <c r="J165" s="20" t="s">
        <v>470</v>
      </c>
      <c r="K165" s="20" t="s">
        <v>452</v>
      </c>
      <c r="L165" s="1" t="s">
        <v>63</v>
      </c>
      <c r="M165" s="1" t="s">
        <v>30</v>
      </c>
      <c r="N165" s="1" t="s">
        <v>353</v>
      </c>
    </row>
    <row r="166" spans="1:14" ht="15" customHeight="1" x14ac:dyDescent="0.2">
      <c r="A166" s="1">
        <v>70</v>
      </c>
      <c r="B166" s="6" t="s">
        <v>169</v>
      </c>
      <c r="C166" s="6" t="s">
        <v>160</v>
      </c>
      <c r="D166" s="6" t="s">
        <v>159</v>
      </c>
      <c r="E166" s="18" t="s">
        <v>191</v>
      </c>
      <c r="F166" s="8">
        <v>1</v>
      </c>
      <c r="G166" s="17" t="str">
        <f t="shared" si="8"/>
        <v xml:space="preserve">Ελένη </v>
      </c>
      <c r="H166" s="17" t="str">
        <f t="shared" si="10"/>
        <v>Γκούζια</v>
      </c>
      <c r="I166" s="1" t="s">
        <v>109</v>
      </c>
      <c r="J166" s="20" t="s">
        <v>470</v>
      </c>
      <c r="K166" s="20" t="s">
        <v>383</v>
      </c>
      <c r="L166" s="1" t="s">
        <v>11</v>
      </c>
      <c r="M166" s="1" t="s">
        <v>30</v>
      </c>
      <c r="N166" s="1" t="s">
        <v>354</v>
      </c>
    </row>
  </sheetData>
  <autoFilter ref="B1:M166" xr:uid="{00000000-0001-0000-0000-000000000000}">
    <sortState xmlns:xlrd2="http://schemas.microsoft.com/office/spreadsheetml/2017/richdata2" ref="B2:M166">
      <sortCondition ref="B1:B166"/>
    </sortState>
  </autoFilter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F518-E9E4-AA44-9E47-B4655337A346}">
  <dimension ref="A1:K5"/>
  <sheetViews>
    <sheetView workbookViewId="0">
      <selection activeCell="A5" sqref="A5"/>
    </sheetView>
  </sheetViews>
  <sheetFormatPr baseColWidth="10" defaultColWidth="10.83203125" defaultRowHeight="15" x14ac:dyDescent="0.2"/>
  <sheetData>
    <row r="1" spans="1:11" s="1" customFormat="1" ht="15" customHeight="1" x14ac:dyDescent="0.2">
      <c r="A1" s="2" t="s">
        <v>137</v>
      </c>
      <c r="B1" s="7" t="s">
        <v>139</v>
      </c>
      <c r="C1" s="3" t="s">
        <v>138</v>
      </c>
      <c r="D1" s="3" t="s">
        <v>145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9</v>
      </c>
      <c r="J1" s="3" t="s">
        <v>8</v>
      </c>
      <c r="K1" s="3" t="s">
        <v>135</v>
      </c>
    </row>
    <row r="2" spans="1:11" x14ac:dyDescent="0.2">
      <c r="A2" s="9" t="s">
        <v>12</v>
      </c>
      <c r="B2" s="10">
        <v>1</v>
      </c>
      <c r="C2" s="11" t="s">
        <v>50</v>
      </c>
      <c r="D2" s="11" t="str">
        <f t="shared" ref="D2:D5" si="0">CONCATENATE(C2,"-",A2)</f>
        <v>Μήκος-Μ55</v>
      </c>
      <c r="E2" s="12">
        <v>5.39</v>
      </c>
      <c r="F2" s="9" t="s">
        <v>147</v>
      </c>
      <c r="G2" s="13" t="s">
        <v>148</v>
      </c>
      <c r="H2" s="13" t="s">
        <v>149</v>
      </c>
      <c r="I2" s="9" t="s">
        <v>150</v>
      </c>
      <c r="J2" s="9" t="s">
        <v>92</v>
      </c>
      <c r="K2" s="9">
        <v>2025</v>
      </c>
    </row>
    <row r="3" spans="1:11" x14ac:dyDescent="0.2">
      <c r="A3" s="1" t="s">
        <v>12</v>
      </c>
      <c r="B3" s="8">
        <v>1</v>
      </c>
      <c r="C3" s="6">
        <v>60</v>
      </c>
      <c r="D3" s="6" t="str">
        <f t="shared" si="0"/>
        <v>60-Μ55</v>
      </c>
      <c r="E3" s="4">
        <v>8.6805555555555559E-5</v>
      </c>
      <c r="F3" s="1" t="s">
        <v>6</v>
      </c>
      <c r="G3" s="5" t="s">
        <v>7</v>
      </c>
      <c r="H3" s="5" t="s">
        <v>130</v>
      </c>
      <c r="I3" s="1" t="s">
        <v>11</v>
      </c>
      <c r="J3" s="1" t="s">
        <v>30</v>
      </c>
      <c r="K3" s="1"/>
    </row>
    <row r="4" spans="1:11" x14ac:dyDescent="0.2">
      <c r="A4" s="1" t="s">
        <v>15</v>
      </c>
      <c r="B4" s="8">
        <v>2</v>
      </c>
      <c r="C4" s="6">
        <v>60</v>
      </c>
      <c r="D4" s="6" t="str">
        <f t="shared" si="0"/>
        <v>60-Μ70</v>
      </c>
      <c r="E4" s="4">
        <v>1.0324074074074074E-4</v>
      </c>
      <c r="F4" s="1" t="s">
        <v>17</v>
      </c>
      <c r="G4" s="5" t="s">
        <v>18</v>
      </c>
      <c r="H4" s="5" t="s">
        <v>108</v>
      </c>
      <c r="I4" s="1" t="s">
        <v>11</v>
      </c>
      <c r="J4" s="1" t="s">
        <v>10</v>
      </c>
    </row>
    <row r="5" spans="1:11" x14ac:dyDescent="0.2">
      <c r="A5" s="1" t="s">
        <v>71</v>
      </c>
      <c r="B5" s="8">
        <v>1</v>
      </c>
      <c r="C5" s="6">
        <v>200</v>
      </c>
      <c r="D5" s="6" t="str">
        <f t="shared" si="0"/>
        <v>200-W55</v>
      </c>
      <c r="E5" s="15" t="s">
        <v>136</v>
      </c>
      <c r="F5" s="1" t="s">
        <v>48</v>
      </c>
      <c r="G5" s="5" t="s">
        <v>74</v>
      </c>
      <c r="H5" s="5" t="s">
        <v>116</v>
      </c>
      <c r="I5" s="1" t="s">
        <v>114</v>
      </c>
      <c r="J5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baseColWidth="10" defaultColWidth="10.83203125" defaultRowHeight="15" x14ac:dyDescent="0.2"/>
  <sheetData>
    <row r="1" spans="1:2" x14ac:dyDescent="0.2">
      <c r="A1" t="s">
        <v>146</v>
      </c>
      <c r="B1" t="s">
        <v>141</v>
      </c>
    </row>
    <row r="2" spans="1:2" x14ac:dyDescent="0.2">
      <c r="A2" t="s">
        <v>142</v>
      </c>
      <c r="B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National Records</vt:lpstr>
      <vt:lpstr>Καταρίψεις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2006-10-17T10:06:23Z</dcterms:created>
  <dcterms:modified xsi:type="dcterms:W3CDTF">2026-02-20T21:54:11Z</dcterms:modified>
</cp:coreProperties>
</file>