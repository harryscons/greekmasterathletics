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01"/>
  <workbookPr filterPrivacy="1" defaultThemeVersion="124226"/>
  <xr:revisionPtr revIDLastSave="0" documentId="13_ncr:1_{D1EC3AA8-7E2D-8B40-9FC8-BFF03961FBCC}" xr6:coauthVersionLast="47" xr6:coauthVersionMax="47" xr10:uidLastSave="{00000000-0000-0000-0000-000000000000}"/>
  <bookViews>
    <workbookView xWindow="900" yWindow="1640" windowWidth="35100" windowHeight="18820" xr2:uid="{00000000-000D-0000-FFFF-FFFF00000000}"/>
  </bookViews>
  <sheets>
    <sheet name="Εθνικά Ρεκορ" sheetId="2" r:id="rId1"/>
    <sheet name="Ανεπίσημα Εθνικά Ρεκορ" sheetId="5" r:id="rId2"/>
    <sheet name="Καταρίψεις" sheetId="4" r:id="rId3"/>
    <sheet name="Database Names" sheetId="6" r:id="rId4"/>
  </sheets>
  <definedNames>
    <definedName name="_xlnm._FilterDatabase" localSheetId="3" hidden="1">'Database Names'!$A$1:$B$262</definedName>
    <definedName name="_xlnm._FilterDatabase" localSheetId="1" hidden="1">'Ανεπίσημα Εθνικά Ρεκορ'!$A$2:$N$11</definedName>
    <definedName name="_xlnm._FilterDatabase" localSheetId="0" hidden="1">'Εθνικά Ρεκορ'!$A$1:$O$799</definedName>
    <definedName name="_xlnm.Print_Area" localSheetId="0">'Εθνικά Ρεκορ'!$A:$M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76" i="4" l="1"/>
  <c r="N75" i="4"/>
  <c r="N74" i="4"/>
  <c r="N73" i="4"/>
  <c r="N593" i="2"/>
  <c r="N71" i="4"/>
  <c r="N70" i="4"/>
  <c r="N66" i="4"/>
  <c r="N357" i="2"/>
  <c r="N539" i="2"/>
  <c r="N633" i="2"/>
  <c r="N71" i="2"/>
  <c r="N129" i="2"/>
  <c r="N662" i="2"/>
  <c r="N704" i="2"/>
  <c r="N689" i="2"/>
  <c r="N556" i="2"/>
  <c r="N103" i="2"/>
  <c r="N22" i="2"/>
  <c r="N182" i="2"/>
  <c r="N414" i="2"/>
  <c r="N87" i="2"/>
  <c r="N396" i="2"/>
  <c r="N797" i="2"/>
  <c r="N796" i="2"/>
  <c r="N795" i="2"/>
  <c r="N794" i="2"/>
  <c r="N793" i="2"/>
  <c r="N792" i="2"/>
  <c r="N791" i="2"/>
  <c r="N790" i="2"/>
  <c r="N789" i="2"/>
  <c r="N788" i="2"/>
  <c r="N787" i="2"/>
  <c r="N786" i="2"/>
  <c r="N785" i="2"/>
  <c r="N784" i="2"/>
  <c r="N783" i="2"/>
  <c r="N782" i="2"/>
  <c r="N781" i="2"/>
  <c r="N780" i="2"/>
  <c r="N779" i="2"/>
  <c r="N778" i="2"/>
  <c r="N777" i="2"/>
  <c r="N776" i="2"/>
  <c r="N775" i="2"/>
  <c r="N774" i="2"/>
  <c r="N773" i="2"/>
  <c r="N772" i="2"/>
  <c r="N771" i="2"/>
  <c r="N770" i="2"/>
  <c r="N769" i="2"/>
  <c r="N768" i="2"/>
  <c r="N767" i="2"/>
  <c r="N766" i="2"/>
  <c r="N765" i="2"/>
  <c r="N764" i="2"/>
  <c r="N763" i="2"/>
  <c r="N762" i="2"/>
  <c r="N298" i="2"/>
  <c r="N294" i="2"/>
  <c r="N290" i="2"/>
  <c r="N99" i="2"/>
  <c r="N138" i="2"/>
  <c r="N65" i="2"/>
  <c r="N170" i="2"/>
  <c r="N575" i="2"/>
  <c r="N571" i="2"/>
  <c r="N568" i="2"/>
  <c r="N566" i="2"/>
  <c r="N676" i="2"/>
  <c r="N674" i="2"/>
  <c r="N672" i="2"/>
  <c r="N671" i="2"/>
  <c r="N669" i="2"/>
  <c r="N667" i="2"/>
  <c r="N665" i="2"/>
  <c r="N517" i="2"/>
  <c r="N516" i="2"/>
  <c r="N515" i="2"/>
  <c r="N514" i="2"/>
  <c r="N513" i="2"/>
  <c r="N512" i="2"/>
  <c r="N510" i="2"/>
  <c r="N446" i="2"/>
  <c r="N445" i="2"/>
  <c r="N441" i="2"/>
  <c r="N440" i="2"/>
  <c r="N438" i="2"/>
  <c r="N437" i="2"/>
  <c r="N722" i="2"/>
  <c r="N721" i="2"/>
  <c r="N720" i="2"/>
  <c r="N719" i="2"/>
  <c r="N718" i="2"/>
  <c r="N717" i="2"/>
  <c r="N716" i="2"/>
  <c r="N547" i="2"/>
  <c r="N545" i="2"/>
  <c r="N543" i="2"/>
  <c r="N542" i="2"/>
  <c r="N541" i="2"/>
  <c r="N540" i="2"/>
  <c r="N703" i="2"/>
  <c r="N699" i="2"/>
  <c r="N698" i="2"/>
  <c r="N697" i="2"/>
  <c r="N696" i="2"/>
  <c r="N695" i="2"/>
  <c r="N694" i="2"/>
  <c r="N737" i="2"/>
  <c r="N639" i="2"/>
  <c r="N638" i="2"/>
  <c r="N637" i="2"/>
  <c r="N636" i="2"/>
  <c r="N635" i="2"/>
  <c r="N561" i="2"/>
  <c r="N560" i="2"/>
  <c r="N759" i="2"/>
  <c r="N758" i="2"/>
  <c r="N757" i="2"/>
  <c r="N756" i="2"/>
  <c r="N755" i="2"/>
  <c r="N751" i="2"/>
  <c r="N495" i="2"/>
  <c r="N491" i="2"/>
  <c r="N487" i="2"/>
  <c r="N483" i="2"/>
  <c r="N343" i="2"/>
  <c r="N339" i="2"/>
  <c r="N335" i="2"/>
  <c r="N334" i="2"/>
  <c r="N289" i="2"/>
  <c r="N282" i="2"/>
  <c r="N278" i="2"/>
  <c r="N274" i="2"/>
  <c r="N270" i="2"/>
  <c r="N266" i="2"/>
  <c r="N31" i="2"/>
  <c r="N28" i="2"/>
  <c r="N27" i="2"/>
  <c r="N390" i="2"/>
  <c r="N389" i="2"/>
  <c r="N388" i="2"/>
  <c r="N386" i="2"/>
  <c r="N385" i="2"/>
  <c r="N384" i="2"/>
  <c r="N383" i="2"/>
  <c r="N180" i="2"/>
  <c r="N179" i="2"/>
  <c r="N178" i="2"/>
  <c r="N177" i="2"/>
  <c r="N176" i="2"/>
  <c r="N175" i="2"/>
  <c r="N109" i="2"/>
  <c r="N108" i="2"/>
  <c r="N107" i="2"/>
  <c r="N106" i="2"/>
  <c r="N191" i="2"/>
  <c r="N190" i="2"/>
  <c r="N225" i="2"/>
  <c r="N224" i="2"/>
  <c r="N223" i="2"/>
  <c r="N423" i="2"/>
  <c r="N422" i="2"/>
  <c r="N420" i="2"/>
  <c r="N419" i="2"/>
  <c r="N418" i="2"/>
  <c r="N417" i="2"/>
  <c r="N617" i="2"/>
  <c r="N616" i="2"/>
  <c r="N615" i="2"/>
  <c r="N614" i="2"/>
  <c r="N613" i="2"/>
  <c r="N612" i="2"/>
  <c r="N611" i="2"/>
  <c r="N609" i="2"/>
  <c r="N596" i="2"/>
  <c r="N595" i="2"/>
  <c r="N594" i="2"/>
  <c r="N592" i="2"/>
  <c r="N591" i="2"/>
  <c r="N590" i="2"/>
  <c r="N589" i="2"/>
  <c r="N17" i="2"/>
  <c r="N16" i="2"/>
  <c r="N15" i="2"/>
  <c r="N14" i="2"/>
  <c r="N369" i="2"/>
  <c r="N368" i="2"/>
  <c r="N367" i="2"/>
  <c r="N366" i="2"/>
  <c r="N365" i="2"/>
  <c r="N364" i="2"/>
  <c r="N363" i="2"/>
  <c r="N157" i="2"/>
  <c r="N156" i="2"/>
  <c r="N155" i="2"/>
  <c r="N154" i="2"/>
  <c r="N152" i="2"/>
  <c r="N151" i="2"/>
  <c r="N150" i="2"/>
  <c r="N98" i="2"/>
  <c r="N97" i="2"/>
  <c r="N96" i="2"/>
  <c r="N94" i="2"/>
  <c r="N93" i="2"/>
  <c r="N91" i="2"/>
  <c r="N90" i="2"/>
  <c r="N413" i="2"/>
  <c r="N412" i="2"/>
  <c r="N411" i="2"/>
  <c r="N410" i="2"/>
  <c r="N409" i="2"/>
  <c r="N408" i="2"/>
  <c r="N406" i="2"/>
  <c r="N405" i="2"/>
  <c r="N404" i="2"/>
  <c r="N215" i="2"/>
  <c r="N214" i="2"/>
  <c r="N213" i="2"/>
  <c r="N208" i="2"/>
  <c r="N207" i="2"/>
  <c r="N206" i="2"/>
  <c r="N205" i="2"/>
  <c r="N137" i="2"/>
  <c r="N136" i="2"/>
  <c r="N134" i="2"/>
  <c r="N130" i="2"/>
  <c r="N128" i="2"/>
  <c r="N127" i="2"/>
  <c r="N64" i="2"/>
  <c r="N60" i="2"/>
  <c r="N56" i="2"/>
  <c r="N55" i="2"/>
  <c r="N54" i="2"/>
  <c r="N52" i="2"/>
  <c r="N525" i="2"/>
  <c r="N524" i="2"/>
  <c r="N522" i="2"/>
  <c r="N521" i="2"/>
  <c r="N518" i="2"/>
  <c r="N650" i="2"/>
  <c r="N649" i="2"/>
  <c r="N648" i="2"/>
  <c r="N647" i="2"/>
  <c r="N645" i="2"/>
  <c r="N644" i="2"/>
  <c r="N643" i="2"/>
  <c r="N642" i="2"/>
  <c r="N661" i="2"/>
  <c r="N660" i="2"/>
  <c r="N659" i="2"/>
  <c r="N658" i="2"/>
  <c r="N657" i="2"/>
  <c r="N656" i="2"/>
  <c r="N655" i="2"/>
  <c r="N654" i="2"/>
  <c r="N509" i="2"/>
  <c r="N508" i="2"/>
  <c r="N505" i="2"/>
  <c r="N504" i="2"/>
  <c r="N503" i="2"/>
  <c r="N502" i="2"/>
  <c r="N501" i="2"/>
  <c r="N500" i="2"/>
  <c r="N499" i="2"/>
  <c r="N436" i="2"/>
  <c r="N435" i="2"/>
  <c r="N434" i="2"/>
  <c r="N432" i="2"/>
  <c r="N428" i="2"/>
  <c r="N427" i="2"/>
  <c r="N426" i="2"/>
  <c r="N424" i="2"/>
  <c r="N715" i="2"/>
  <c r="N711" i="2"/>
  <c r="N710" i="2"/>
  <c r="N709" i="2"/>
  <c r="N708" i="2"/>
  <c r="N707" i="2"/>
  <c r="N706" i="2"/>
  <c r="N705" i="2"/>
  <c r="N538" i="2"/>
  <c r="N537" i="2"/>
  <c r="N536" i="2"/>
  <c r="N534" i="2"/>
  <c r="N533" i="2"/>
  <c r="N532" i="2"/>
  <c r="N531" i="2"/>
  <c r="N690" i="2"/>
  <c r="N688" i="2"/>
  <c r="N685" i="2"/>
  <c r="N684" i="2"/>
  <c r="N683" i="2"/>
  <c r="N682" i="2"/>
  <c r="N681" i="2"/>
  <c r="N680" i="2"/>
  <c r="N678" i="2"/>
  <c r="N734" i="2"/>
  <c r="N733" i="2"/>
  <c r="N731" i="2"/>
  <c r="N730" i="2"/>
  <c r="N729" i="2"/>
  <c r="N728" i="2"/>
  <c r="N727" i="2"/>
  <c r="N726" i="2"/>
  <c r="N725" i="2"/>
  <c r="N724" i="2"/>
  <c r="N632" i="2"/>
  <c r="N631" i="2"/>
  <c r="N630" i="2"/>
  <c r="N629" i="2"/>
  <c r="N628" i="2"/>
  <c r="N627" i="2"/>
  <c r="N626" i="2"/>
  <c r="N623" i="2"/>
  <c r="N622" i="2"/>
  <c r="N619" i="2"/>
  <c r="N618" i="2"/>
  <c r="N559" i="2"/>
  <c r="N554" i="2"/>
  <c r="N552" i="2"/>
  <c r="N550" i="2"/>
  <c r="N549" i="2"/>
  <c r="N750" i="2"/>
  <c r="N748" i="2"/>
  <c r="N747" i="2"/>
  <c r="N746" i="2"/>
  <c r="N745" i="2"/>
  <c r="N744" i="2"/>
  <c r="N743" i="2"/>
  <c r="N479" i="2"/>
  <c r="N475" i="2"/>
  <c r="N471" i="2"/>
  <c r="N467" i="2"/>
  <c r="N463" i="2"/>
  <c r="N459" i="2"/>
  <c r="N455" i="2"/>
  <c r="N451" i="2"/>
  <c r="N447" i="2"/>
  <c r="N330" i="2"/>
  <c r="N326" i="2"/>
  <c r="N322" i="2"/>
  <c r="N318" i="2"/>
  <c r="N314" i="2"/>
  <c r="N262" i="2"/>
  <c r="N258" i="2"/>
  <c r="N254" i="2"/>
  <c r="N250" i="2"/>
  <c r="N246" i="2"/>
  <c r="N242" i="2"/>
  <c r="N238" i="2"/>
  <c r="N234" i="2"/>
  <c r="N230" i="2"/>
  <c r="N226" i="2"/>
  <c r="N104" i="2"/>
  <c r="N102" i="2"/>
  <c r="N100" i="2"/>
  <c r="N24" i="2"/>
  <c r="N20" i="2"/>
  <c r="N382" i="2"/>
  <c r="N381" i="2"/>
  <c r="N380" i="2"/>
  <c r="N379" i="2"/>
  <c r="N378" i="2"/>
  <c r="N377" i="2"/>
  <c r="N373" i="2"/>
  <c r="N370" i="2"/>
  <c r="N169" i="2"/>
  <c r="N168" i="2"/>
  <c r="N112" i="2"/>
  <c r="N111" i="2"/>
  <c r="N189" i="2"/>
  <c r="N188" i="2"/>
  <c r="N187" i="2"/>
  <c r="N217" i="2"/>
  <c r="N416" i="2"/>
  <c r="N72" i="2"/>
  <c r="N608" i="2"/>
  <c r="N607" i="2"/>
  <c r="N603" i="2"/>
  <c r="N602" i="2"/>
  <c r="N601" i="2"/>
  <c r="N600" i="2"/>
  <c r="N599" i="2"/>
  <c r="N598" i="2"/>
  <c r="N587" i="2"/>
  <c r="N583" i="2"/>
  <c r="N582" i="2"/>
  <c r="N581" i="2"/>
  <c r="N580" i="2"/>
  <c r="N579" i="2"/>
  <c r="N12" i="2"/>
  <c r="N9" i="2"/>
  <c r="N7" i="2"/>
  <c r="N6" i="2"/>
  <c r="N5" i="2"/>
  <c r="N3" i="2"/>
  <c r="N2" i="2"/>
  <c r="N359" i="2"/>
  <c r="N358" i="2"/>
  <c r="N347" i="2"/>
  <c r="N147" i="2"/>
  <c r="N146" i="2"/>
  <c r="N145" i="2"/>
  <c r="N144" i="2"/>
  <c r="N143" i="2"/>
  <c r="N142" i="2"/>
  <c r="N141" i="2"/>
  <c r="N89" i="2"/>
  <c r="N88" i="2"/>
  <c r="N85" i="2"/>
  <c r="N84" i="2"/>
  <c r="N81" i="2"/>
  <c r="N80" i="2"/>
  <c r="N79" i="2"/>
  <c r="N78" i="2"/>
  <c r="N403" i="2"/>
  <c r="N402" i="2"/>
  <c r="N399" i="2"/>
  <c r="N398" i="2"/>
  <c r="N395" i="2"/>
  <c r="N392" i="2"/>
  <c r="N391" i="2"/>
  <c r="N204" i="2"/>
  <c r="N203" i="2"/>
  <c r="N201" i="2"/>
  <c r="N196" i="2"/>
  <c r="N194" i="2"/>
  <c r="N126" i="2"/>
  <c r="N125" i="2"/>
  <c r="N124" i="2"/>
  <c r="N123" i="2"/>
  <c r="N122" i="2"/>
  <c r="N121" i="2"/>
  <c r="N120" i="2"/>
  <c r="N119" i="2"/>
  <c r="N117" i="2"/>
  <c r="N116" i="2"/>
  <c r="N115" i="2"/>
  <c r="N113" i="2"/>
  <c r="N51" i="2"/>
  <c r="N50" i="2"/>
  <c r="N48" i="2"/>
  <c r="N45" i="2"/>
  <c r="N43" i="2"/>
  <c r="N41" i="2"/>
  <c r="N39" i="2"/>
  <c r="N38" i="2"/>
  <c r="N37" i="2"/>
  <c r="N36" i="2"/>
  <c r="N34" i="2"/>
  <c r="N33" i="2"/>
  <c r="N354" i="2"/>
  <c r="N356" i="2"/>
  <c r="N350" i="2"/>
  <c r="I408" i="2"/>
  <c r="J32" i="2"/>
  <c r="N32" i="2" s="1"/>
  <c r="C263" i="6"/>
  <c r="C262" i="6"/>
  <c r="C261" i="6"/>
  <c r="C260" i="6"/>
  <c r="C259" i="6"/>
  <c r="C258" i="6"/>
  <c r="C257" i="6"/>
  <c r="C256" i="6"/>
  <c r="C255" i="6"/>
  <c r="C254" i="6"/>
  <c r="C253" i="6"/>
  <c r="C252" i="6"/>
  <c r="C251" i="6"/>
  <c r="C250" i="6"/>
  <c r="C249" i="6"/>
  <c r="C248" i="6"/>
  <c r="C247" i="6"/>
  <c r="C246" i="6"/>
  <c r="C245" i="6"/>
  <c r="C244" i="6"/>
  <c r="C243" i="6"/>
  <c r="C242" i="6"/>
  <c r="C241" i="6"/>
  <c r="C240" i="6"/>
  <c r="C239" i="6"/>
  <c r="C238" i="6"/>
  <c r="C237" i="6"/>
  <c r="C236" i="6"/>
  <c r="C235" i="6"/>
  <c r="C234" i="6"/>
  <c r="C233" i="6"/>
  <c r="C232" i="6"/>
  <c r="C231" i="6"/>
  <c r="C230" i="6"/>
  <c r="C229" i="6"/>
  <c r="C228" i="6"/>
  <c r="C227" i="6"/>
  <c r="C226" i="6"/>
  <c r="C225" i="6"/>
  <c r="C224" i="6"/>
  <c r="C223" i="6"/>
  <c r="C222" i="6"/>
  <c r="C221" i="6"/>
  <c r="C220" i="6"/>
  <c r="C219" i="6"/>
  <c r="C218" i="6"/>
  <c r="C217" i="6"/>
  <c r="C216" i="6"/>
  <c r="C215" i="6"/>
  <c r="C214" i="6"/>
  <c r="C213" i="6"/>
  <c r="C212" i="6"/>
  <c r="C211" i="6"/>
  <c r="C210" i="6"/>
  <c r="C209" i="6"/>
  <c r="C208" i="6"/>
  <c r="C207" i="6"/>
  <c r="C206" i="6"/>
  <c r="C205" i="6"/>
  <c r="C204" i="6"/>
  <c r="C203" i="6"/>
  <c r="C202" i="6"/>
  <c r="C201" i="6"/>
  <c r="C200" i="6"/>
  <c r="C199" i="6"/>
  <c r="C198" i="6"/>
  <c r="C197" i="6"/>
  <c r="C196" i="6"/>
  <c r="C195" i="6"/>
  <c r="C194" i="6"/>
  <c r="C193" i="6"/>
  <c r="C192" i="6"/>
  <c r="C191" i="6"/>
  <c r="C190" i="6"/>
  <c r="C189" i="6"/>
  <c r="C188" i="6"/>
  <c r="C187" i="6"/>
  <c r="C186" i="6"/>
  <c r="C185" i="6"/>
  <c r="C184" i="6"/>
  <c r="C183" i="6"/>
  <c r="C182" i="6"/>
  <c r="C181" i="6"/>
  <c r="C180" i="6"/>
  <c r="C179" i="6"/>
  <c r="C178" i="6"/>
  <c r="C177" i="6"/>
  <c r="C176" i="6"/>
  <c r="C175" i="6"/>
  <c r="C174" i="6"/>
  <c r="C173" i="6"/>
  <c r="C172" i="6"/>
  <c r="C171" i="6"/>
  <c r="C170" i="6"/>
  <c r="C169" i="6"/>
  <c r="C168" i="6"/>
  <c r="C167" i="6"/>
  <c r="C166" i="6"/>
  <c r="C165" i="6"/>
  <c r="C164" i="6"/>
  <c r="C163" i="6"/>
  <c r="C162" i="6"/>
  <c r="C161" i="6"/>
  <c r="C160" i="6"/>
  <c r="C159" i="6"/>
  <c r="C158" i="6"/>
  <c r="C157" i="6"/>
  <c r="C156" i="6"/>
  <c r="C155" i="6"/>
  <c r="C154" i="6"/>
  <c r="C153" i="6"/>
  <c r="C152" i="6"/>
  <c r="C151" i="6"/>
  <c r="C150" i="6"/>
  <c r="C149" i="6"/>
  <c r="C148" i="6"/>
  <c r="C147" i="6"/>
  <c r="C146" i="6"/>
  <c r="C145" i="6"/>
  <c r="C144" i="6"/>
  <c r="C143" i="6"/>
  <c r="C142" i="6"/>
  <c r="C141" i="6"/>
  <c r="C140" i="6"/>
  <c r="C139" i="6"/>
  <c r="C138" i="6"/>
  <c r="C137" i="6"/>
  <c r="C136" i="6"/>
  <c r="C135" i="6"/>
  <c r="C134" i="6"/>
  <c r="C133" i="6"/>
  <c r="C132" i="6"/>
  <c r="C131" i="6"/>
  <c r="C130" i="6"/>
  <c r="C129" i="6"/>
  <c r="C128" i="6"/>
  <c r="C127" i="6"/>
  <c r="C126" i="6"/>
  <c r="C125" i="6"/>
  <c r="C124" i="6"/>
  <c r="C123" i="6"/>
  <c r="C122" i="6"/>
  <c r="C121" i="6"/>
  <c r="C120" i="6"/>
  <c r="C119" i="6"/>
  <c r="C118" i="6"/>
  <c r="C117" i="6"/>
  <c r="C116" i="6"/>
  <c r="C115" i="6"/>
  <c r="C114" i="6"/>
  <c r="C113" i="6"/>
  <c r="C112" i="6"/>
  <c r="C111" i="6"/>
  <c r="C110" i="6"/>
  <c r="C109" i="6"/>
  <c r="C108" i="6"/>
  <c r="C107" i="6"/>
  <c r="C106" i="6"/>
  <c r="C105" i="6"/>
  <c r="C104" i="6"/>
  <c r="C103" i="6"/>
  <c r="C102" i="6"/>
  <c r="C101" i="6"/>
  <c r="C100" i="6"/>
  <c r="C99" i="6"/>
  <c r="C98" i="6"/>
  <c r="C97" i="6"/>
  <c r="C96" i="6"/>
  <c r="C95" i="6"/>
  <c r="C94" i="6"/>
  <c r="C93" i="6"/>
  <c r="C92" i="6"/>
  <c r="C91" i="6"/>
  <c r="C90" i="6"/>
  <c r="C89" i="6"/>
  <c r="C88" i="6"/>
  <c r="C87" i="6"/>
  <c r="C86" i="6"/>
  <c r="C85" i="6"/>
  <c r="C84" i="6"/>
  <c r="C83" i="6"/>
  <c r="C82" i="6"/>
  <c r="C81" i="6"/>
  <c r="C80" i="6"/>
  <c r="C79" i="6"/>
  <c r="C78" i="6"/>
  <c r="C77" i="6"/>
  <c r="C76" i="6"/>
  <c r="C75" i="6"/>
  <c r="C74" i="6"/>
  <c r="C73" i="6"/>
  <c r="C72" i="6"/>
  <c r="C71" i="6"/>
  <c r="C70" i="6"/>
  <c r="C69" i="6"/>
  <c r="C68" i="6"/>
  <c r="C67" i="6"/>
  <c r="C66" i="6"/>
  <c r="C65" i="6"/>
  <c r="C64" i="6"/>
  <c r="C63" i="6"/>
  <c r="C62" i="6"/>
  <c r="C61" i="6"/>
  <c r="C60" i="6"/>
  <c r="C59" i="6"/>
  <c r="C58" i="6"/>
  <c r="C57" i="6"/>
  <c r="C56" i="6"/>
  <c r="C55" i="6"/>
  <c r="C54" i="6"/>
  <c r="C53" i="6"/>
  <c r="C52" i="6"/>
  <c r="C51" i="6"/>
  <c r="C50" i="6"/>
  <c r="C49" i="6"/>
  <c r="C48" i="6"/>
  <c r="C47" i="6"/>
  <c r="C46" i="6"/>
  <c r="C45" i="6"/>
  <c r="C44" i="6"/>
  <c r="C43" i="6"/>
  <c r="C42" i="6"/>
  <c r="C41" i="6"/>
  <c r="C40" i="6"/>
  <c r="C39" i="6"/>
  <c r="C38" i="6"/>
  <c r="C37" i="6"/>
  <c r="C36" i="6"/>
  <c r="C35" i="6"/>
  <c r="C34" i="6"/>
  <c r="C33" i="6"/>
  <c r="C32" i="6"/>
  <c r="C31" i="6"/>
  <c r="C30" i="6"/>
  <c r="C29" i="6"/>
  <c r="C28" i="6"/>
  <c r="C27" i="6"/>
  <c r="C26" i="6"/>
  <c r="C25" i="6"/>
  <c r="C24" i="6"/>
  <c r="C23" i="6"/>
  <c r="C22" i="6"/>
  <c r="C21" i="6"/>
  <c r="C20" i="6"/>
  <c r="C19" i="6"/>
  <c r="C18" i="6"/>
  <c r="C17" i="6"/>
  <c r="C16" i="6"/>
  <c r="C15" i="6"/>
  <c r="C14" i="6"/>
  <c r="C13" i="6"/>
  <c r="C12" i="6"/>
  <c r="C11" i="6"/>
  <c r="C10" i="6"/>
  <c r="C9" i="6"/>
  <c r="C8" i="6"/>
  <c r="C7" i="6"/>
  <c r="C6" i="6"/>
  <c r="C5" i="6"/>
  <c r="C4" i="6"/>
  <c r="C3" i="6"/>
  <c r="C2" i="6"/>
  <c r="M13" i="5"/>
  <c r="M12" i="5"/>
</calcChain>
</file>

<file path=xl/sharedStrings.xml><?xml version="1.0" encoding="utf-8"?>
<sst xmlns="http://schemas.openxmlformats.org/spreadsheetml/2006/main" count="6845" uniqueCount="1449">
  <si>
    <t>Μ35</t>
  </si>
  <si>
    <t>Επίδοση</t>
  </si>
  <si>
    <t xml:space="preserve">Ονοματεπώνυμο </t>
  </si>
  <si>
    <t>Ημ. Γέννησης</t>
  </si>
  <si>
    <t xml:space="preserve">Ημερομηνία </t>
  </si>
  <si>
    <t>Μ45</t>
  </si>
  <si>
    <t xml:space="preserve">Νικόλαος Γιανναδάκης </t>
  </si>
  <si>
    <t xml:space="preserve">Διοργάνωση </t>
  </si>
  <si>
    <t>Τόπος</t>
  </si>
  <si>
    <t>Μ50</t>
  </si>
  <si>
    <t>Μ55</t>
  </si>
  <si>
    <t>Μ60</t>
  </si>
  <si>
    <t>Μ65</t>
  </si>
  <si>
    <t>Μ70</t>
  </si>
  <si>
    <t>Μ75</t>
  </si>
  <si>
    <t>Βαλκανικό Πρωτάθλημα</t>
  </si>
  <si>
    <t>Μ90</t>
  </si>
  <si>
    <t>11.27</t>
  </si>
  <si>
    <t>Ιεράπετρα</t>
  </si>
  <si>
    <t>Βασαρμίδεια</t>
  </si>
  <si>
    <t>Άνεμος</t>
  </si>
  <si>
    <t>11.0</t>
  </si>
  <si>
    <t>Ιωάννης Ζογλοπίτης</t>
  </si>
  <si>
    <t>Αλεξανδρούπολη</t>
  </si>
  <si>
    <t>22.90</t>
  </si>
  <si>
    <t>(+1.6)</t>
  </si>
  <si>
    <t>(-1.1)</t>
  </si>
  <si>
    <t>Ηράκλειο</t>
  </si>
  <si>
    <t>Κνώσεια</t>
  </si>
  <si>
    <t>10.34</t>
  </si>
  <si>
    <t>Αλέξανδρος Τερζιάν</t>
  </si>
  <si>
    <t>Ρέθυμνο</t>
  </si>
  <si>
    <t>Λεωνίδας Πάλλης</t>
  </si>
  <si>
    <t>Μυτιλήνη</t>
  </si>
  <si>
    <t>Διονύσιος Αργυρόπουλος</t>
  </si>
  <si>
    <t>Βουκουρέστι, Ρουμανία</t>
  </si>
  <si>
    <t>(+1.3)</t>
  </si>
  <si>
    <t>11.56</t>
  </si>
  <si>
    <t>11.62</t>
  </si>
  <si>
    <t>Μάριος Χριστοφορίδης</t>
  </si>
  <si>
    <t>Πανελλήνιο Πρωτάθλημα</t>
  </si>
  <si>
    <t>12.89</t>
  </si>
  <si>
    <t>Κοσμάς Καπασακάλης</t>
  </si>
  <si>
    <t>Σόφια, Βουλγαρία</t>
  </si>
  <si>
    <t>Αθήνα</t>
  </si>
  <si>
    <t>Ημερίδα ΟΕΒΑΣ</t>
  </si>
  <si>
    <t>Βόλος</t>
  </si>
  <si>
    <t>14.17</t>
  </si>
  <si>
    <t>Παύλος Χαραλαμπίδης</t>
  </si>
  <si>
    <t>Φιλοθέη</t>
  </si>
  <si>
    <t>Ευσταθιάδεια</t>
  </si>
  <si>
    <t>15.15</t>
  </si>
  <si>
    <t>Ιωάννης Γρανίτσας</t>
  </si>
  <si>
    <t>Χρύσανθος Μπιλιούρης</t>
  </si>
  <si>
    <t>15.4</t>
  </si>
  <si>
    <t>Χαλκίδα</t>
  </si>
  <si>
    <t>16.21</t>
  </si>
  <si>
    <t>Σμύρνη, Τουρκία</t>
  </si>
  <si>
    <t>18.72</t>
  </si>
  <si>
    <t>Κωνσταντίνος Χατζηεμμανουήλ</t>
  </si>
  <si>
    <t>Λάρισα</t>
  </si>
  <si>
    <t>21.84</t>
  </si>
  <si>
    <t>Ανδρέας Πολυχρονόπουλος</t>
  </si>
  <si>
    <t>Στάρα Ζαγόρα, Βουλγαρία</t>
  </si>
  <si>
    <t>1.04.80</t>
  </si>
  <si>
    <t>Οδυσσέας Σκαμαντζούρας</t>
  </si>
  <si>
    <t>Τρίκαλα</t>
  </si>
  <si>
    <t>Καλαμάτα</t>
  </si>
  <si>
    <t>24.00</t>
  </si>
  <si>
    <t>Ιωάννης Χουλίδης</t>
  </si>
  <si>
    <t>Νάξος</t>
  </si>
  <si>
    <t>Καρπενήσι</t>
  </si>
  <si>
    <t>29.42</t>
  </si>
  <si>
    <t>Τσέλιε, Σλοβενία</t>
  </si>
  <si>
    <t>31.9</t>
  </si>
  <si>
    <t>33.34</t>
  </si>
  <si>
    <t>41.23</t>
  </si>
  <si>
    <t>49.51</t>
  </si>
  <si>
    <t>(-0.6)</t>
  </si>
  <si>
    <t>Πανευρωπαϊκό Πρωτάθλημα</t>
  </si>
  <si>
    <t>48.45</t>
  </si>
  <si>
    <t>Στυλιανός Δημότσιος</t>
  </si>
  <si>
    <t>51.31</t>
  </si>
  <si>
    <t>Αντώνιος Καταντωνάκης</t>
  </si>
  <si>
    <t>Μάλαγα, Ισπανία</t>
  </si>
  <si>
    <t>Παγκόσμιο Πρωτάθλημα</t>
  </si>
  <si>
    <t>Αθήνα, Αγ. Κοσμάς</t>
  </si>
  <si>
    <t>53.72</t>
  </si>
  <si>
    <t>Βλαδίμηρος Ελευθεριάδης</t>
  </si>
  <si>
    <t>Νιρεγκιάζα, Ουγγαρία</t>
  </si>
  <si>
    <t>Αντώνιος Μόρφης</t>
  </si>
  <si>
    <t>1.05.7</t>
  </si>
  <si>
    <t>Παναγιώτης Κανακάρης</t>
  </si>
  <si>
    <t>1.08.8</t>
  </si>
  <si>
    <t>Απόστολος Βενετιάδης</t>
  </si>
  <si>
    <t>Θεσσαλονίκη</t>
  </si>
  <si>
    <t>Βαρδινογιάννεια</t>
  </si>
  <si>
    <t>Παπαφλέσσεια</t>
  </si>
  <si>
    <t>28.1</t>
  </si>
  <si>
    <t>Περικλής Ιακωβάκης</t>
  </si>
  <si>
    <t>Παναγιώτης Δούσης</t>
  </si>
  <si>
    <t>1.19.31</t>
  </si>
  <si>
    <t>Λυών, Γαλλία</t>
  </si>
  <si>
    <t>1.41.63</t>
  </si>
  <si>
    <t>1.54.18</t>
  </si>
  <si>
    <t>Φώτιος Κούρτης</t>
  </si>
  <si>
    <t>Δράμα</t>
  </si>
  <si>
    <t>Παμβορειοελλαδικοί</t>
  </si>
  <si>
    <t>2.04.40</t>
  </si>
  <si>
    <t>Ιούλιος Αρμάος</t>
  </si>
  <si>
    <t>2.04.38</t>
  </si>
  <si>
    <t xml:space="preserve">Ευκλίδης Παπαντωνιάδης </t>
  </si>
  <si>
    <t>Όρεγκον, ΗΠΑ</t>
  </si>
  <si>
    <t>Νόβι Σαντ, Σερβία</t>
  </si>
  <si>
    <t>2.25.36</t>
  </si>
  <si>
    <t>2.33.02</t>
  </si>
  <si>
    <t>Γεώργιος Θεοδωσίου</t>
  </si>
  <si>
    <t>Καβάλα</t>
  </si>
  <si>
    <t>Πόζναν, Πολωνία</t>
  </si>
  <si>
    <t>Αγώνες Τάσος Ξενός</t>
  </si>
  <si>
    <t>2.50.19</t>
  </si>
  <si>
    <t>3.01.25</t>
  </si>
  <si>
    <t>Καρδίτσα</t>
  </si>
  <si>
    <t>3.42.1</t>
  </si>
  <si>
    <t>Παναγιώτης Γάκης</t>
  </si>
  <si>
    <t>4.29.09</t>
  </si>
  <si>
    <t>4.45.63</t>
  </si>
  <si>
    <t>Περθ, Αυστραλία</t>
  </si>
  <si>
    <t>3.50.12</t>
  </si>
  <si>
    <t>Χαράλαμπος Κωνσταντινίδης</t>
  </si>
  <si>
    <t>Πάτρα</t>
  </si>
  <si>
    <t>Τοφάλεια</t>
  </si>
  <si>
    <t>Μιχαήλ Γκαγκάδης</t>
  </si>
  <si>
    <t>Άαρχους, Δανία</t>
  </si>
  <si>
    <t>5.00.2</t>
  </si>
  <si>
    <t>Νικόλαος Βαγγελάκης</t>
  </si>
  <si>
    <t>5.21.06</t>
  </si>
  <si>
    <t>5.47.88</t>
  </si>
  <si>
    <t>6.05.02</t>
  </si>
  <si>
    <t>6.34.50</t>
  </si>
  <si>
    <t>Στυλιανός Πρασσάς</t>
  </si>
  <si>
    <t>8.07.22</t>
  </si>
  <si>
    <t>Σπυρίδων Ανδριόπουλος</t>
  </si>
  <si>
    <t>Αθήνα, Ν. Φάληρο</t>
  </si>
  <si>
    <t>Παναγιώτης Παπανδρεόπουλος</t>
  </si>
  <si>
    <t>Κατερίνη</t>
  </si>
  <si>
    <t>5.000μ.</t>
  </si>
  <si>
    <t>Οδυσσέας Άγρος</t>
  </si>
  <si>
    <t>13.44.56</t>
  </si>
  <si>
    <t>Κωνσταντίνος Παπαδάτος</t>
  </si>
  <si>
    <t>14.18.0</t>
  </si>
  <si>
    <t>20.00.4</t>
  </si>
  <si>
    <t>Ηρακλής Βασιλειάδης</t>
  </si>
  <si>
    <t>13.54.77</t>
  </si>
  <si>
    <t>Αθήνα, Μαρούσι</t>
  </si>
  <si>
    <t>Πανελλήνιο Πρωτάθλημα Α/Γ</t>
  </si>
  <si>
    <t>15.00.62</t>
  </si>
  <si>
    <t>15.57.85</t>
  </si>
  <si>
    <t>Αθήνα, Χολαργός</t>
  </si>
  <si>
    <t>16.54.40</t>
  </si>
  <si>
    <t>Γεώργιος Σίκαλος</t>
  </si>
  <si>
    <t>16.42.31</t>
  </si>
  <si>
    <t>Ευστράτιος Καστερίδης</t>
  </si>
  <si>
    <t>Έδεσσα</t>
  </si>
  <si>
    <t>18.05.65</t>
  </si>
  <si>
    <t>Ιωάννης Σαριδάκης</t>
  </si>
  <si>
    <t>20.42.20</t>
  </si>
  <si>
    <t>18.44.0</t>
  </si>
  <si>
    <t>Τούρκου, Φινλανδία</t>
  </si>
  <si>
    <t>25.10.0</t>
  </si>
  <si>
    <t>ΠΑΝΕΛΛΗΝΙΑ ΡΕΚΟΡ ΑΝΟΙΚΤΟΥ ΣΤΙΒΟΥ ΔΙΑΧΡΟΝΙΚΏΝ ΑΘΛΗΤΩΝ</t>
  </si>
  <si>
    <t>29.19.75</t>
  </si>
  <si>
    <t>Γεώργιος Καραβίδας</t>
  </si>
  <si>
    <t>Μέγαρα</t>
  </si>
  <si>
    <t>32.41.62</t>
  </si>
  <si>
    <t>Αθήνα, Αγ. Δημήτριος</t>
  </si>
  <si>
    <t>Λιοφίλια</t>
  </si>
  <si>
    <t>Masters Gala</t>
  </si>
  <si>
    <t>41.31.10</t>
  </si>
  <si>
    <t>Χρήστος Βαρτζάκης</t>
  </si>
  <si>
    <t>44.03.06</t>
  </si>
  <si>
    <t>46.51.00</t>
  </si>
  <si>
    <t>46.00.00</t>
  </si>
  <si>
    <t>1:07.25.22</t>
  </si>
  <si>
    <t>Ημιμαραθώνιος</t>
  </si>
  <si>
    <t>1:04.49</t>
  </si>
  <si>
    <t>Μιλάνο, Ιταλία</t>
  </si>
  <si>
    <t>2:23.51</t>
  </si>
  <si>
    <t>Γεώργιος Γιαννακάκης</t>
  </si>
  <si>
    <t>Ρόκβιλ, ΗΠΑ</t>
  </si>
  <si>
    <t>10.45.42</t>
  </si>
  <si>
    <t>1.14.3</t>
  </si>
  <si>
    <t>2:04.22</t>
  </si>
  <si>
    <t>Νικόλαος Αλεξόπουλος</t>
  </si>
  <si>
    <t>1:08.30</t>
  </si>
  <si>
    <t>Θεόδωρος Αναγνώστου</t>
  </si>
  <si>
    <t>1:24.13</t>
  </si>
  <si>
    <t>Ιωάννης Ζώρζος</t>
  </si>
  <si>
    <t>1:40.10</t>
  </si>
  <si>
    <t>Μαραθώνιος</t>
  </si>
  <si>
    <t>2:13.15</t>
  </si>
  <si>
    <t>Αγρίνιο</t>
  </si>
  <si>
    <t>Δημοσθένης Ευαγγελίδης</t>
  </si>
  <si>
    <t>4:11.40</t>
  </si>
  <si>
    <t>5:21.21</t>
  </si>
  <si>
    <t>Λιουμπλιάνα, Σλοβενία</t>
  </si>
  <si>
    <t>14.6</t>
  </si>
  <si>
    <t>15.43</t>
  </si>
  <si>
    <t>Βουδαπέστη, Ουγγαρία</t>
  </si>
  <si>
    <t>14.9</t>
  </si>
  <si>
    <t>14.50</t>
  </si>
  <si>
    <t>Ντέρμπαν, Ν. Αφρική</t>
  </si>
  <si>
    <t>Ιωάννης Μπέλλος</t>
  </si>
  <si>
    <t>16.27</t>
  </si>
  <si>
    <t>16.82</t>
  </si>
  <si>
    <t>Ζάγκρεμπ, Κροατία</t>
  </si>
  <si>
    <t>17.20</t>
  </si>
  <si>
    <t>Πότσδαμ, Γερμανία</t>
  </si>
  <si>
    <t>Ριτσιόνε, Ιταλία</t>
  </si>
  <si>
    <t>13.86</t>
  </si>
  <si>
    <t>15.42</t>
  </si>
  <si>
    <t>16.87</t>
  </si>
  <si>
    <t>50.84</t>
  </si>
  <si>
    <t>56.3</t>
  </si>
  <si>
    <t>Μελβούρνη, Αυστραλία</t>
  </si>
  <si>
    <t>58.01</t>
  </si>
  <si>
    <t>60.97</t>
  </si>
  <si>
    <t>61.27</t>
  </si>
  <si>
    <t xml:space="preserve">Μιχαήλ Μαλατίδης </t>
  </si>
  <si>
    <t>68.61</t>
  </si>
  <si>
    <t>Βασίλειος Ανδρεάδης</t>
  </si>
  <si>
    <t>Μπάφαλο, ΗΠΑ</t>
  </si>
  <si>
    <t>46.94</t>
  </si>
  <si>
    <t>51.27</t>
  </si>
  <si>
    <t>Συμεών Συμεωνίδης</t>
  </si>
  <si>
    <t>Κωνσταντινούπολη, Τουρκία</t>
  </si>
  <si>
    <t>8.47.09</t>
  </si>
  <si>
    <t>9.52.19</t>
  </si>
  <si>
    <t>10.46.55</t>
  </si>
  <si>
    <t>10.37.67</t>
  </si>
  <si>
    <t>12.26.31</t>
  </si>
  <si>
    <t>Δημήτριος Τζεφάλης</t>
  </si>
  <si>
    <t>Πύργος</t>
  </si>
  <si>
    <t>8.02.48</t>
  </si>
  <si>
    <t>8.44.15</t>
  </si>
  <si>
    <t>Ιωάννης Δρουδάκης</t>
  </si>
  <si>
    <t>Παναγιώτης Αφρουδάκης (21.1.1977)</t>
  </si>
  <si>
    <t>Γεώργιος Λεπίδας (25.7.1975)</t>
  </si>
  <si>
    <t xml:space="preserve">Νικόλαος Χατζηνικολάου (27.12.1966)  </t>
  </si>
  <si>
    <t>Διονύσιος Κοντονής (6.2.1969)</t>
  </si>
  <si>
    <t>Διονύσιος Αργυρόπουλος (4.8.1969)</t>
  </si>
  <si>
    <t>44.86</t>
  </si>
  <si>
    <t>Ιορδάνης Καπασούζ (29.8.1980)</t>
  </si>
  <si>
    <t>Χρήστος Φιωτάκης (8.6.1980)</t>
  </si>
  <si>
    <t>47.18</t>
  </si>
  <si>
    <t>Ντόμζαλε, Σλοβενία</t>
  </si>
  <si>
    <t>Περικλής Σιάμος (9.1.1964)</t>
  </si>
  <si>
    <t>Ιωάννης Ζογλοπίτης (2.9.1968)</t>
  </si>
  <si>
    <t>47.91</t>
  </si>
  <si>
    <t>3.45.11</t>
  </si>
  <si>
    <t>Ιωάννης Κυριάκος (9.2.1979)</t>
  </si>
  <si>
    <t>Στυλιανός Δημότσιος (13.11.1974)</t>
  </si>
  <si>
    <t>3.54.30</t>
  </si>
  <si>
    <t>Χαράλαμπος Κωνσταντινίδης (1.6.1974)</t>
  </si>
  <si>
    <t>Ιούλιος Αρμάος (4.4.1977)</t>
  </si>
  <si>
    <t>Αλέξανδρος Κουτσώνας</t>
  </si>
  <si>
    <t>Νικόλαος Κουρής</t>
  </si>
  <si>
    <t>4.01.45</t>
  </si>
  <si>
    <t>Νικόλαος Κόκκος (2.10.1969)</t>
  </si>
  <si>
    <t>Ανδρέας Μπέσσας (26.6.1969)</t>
  </si>
  <si>
    <t>Σπυρίδων Σκορδίλης  (10.7.1960)</t>
  </si>
  <si>
    <t>Στέργιος Χατζηστέργος (2.11.1968)</t>
  </si>
  <si>
    <t>61.1</t>
  </si>
  <si>
    <t>24.30</t>
  </si>
  <si>
    <t>Αριάδνη Δάδα</t>
  </si>
  <si>
    <t>4.45.20</t>
  </si>
  <si>
    <t>Άργος Ορεστικό</t>
  </si>
  <si>
    <t>W40</t>
  </si>
  <si>
    <t>W50</t>
  </si>
  <si>
    <t>W55</t>
  </si>
  <si>
    <t>W60</t>
  </si>
  <si>
    <t>W70</t>
  </si>
  <si>
    <t>Γκραν Πρι</t>
  </si>
  <si>
    <t>10.34.65</t>
  </si>
  <si>
    <t>36.14.36</t>
  </si>
  <si>
    <t>Πανελλήνιο ΠρωτάθλημαΑ/Γ</t>
  </si>
  <si>
    <t>Σταματία Φώτα</t>
  </si>
  <si>
    <t>Αντιγόνη Ντρισμπιώτη</t>
  </si>
  <si>
    <t>50.43</t>
  </si>
  <si>
    <t>Αγγελική Μακρή</t>
  </si>
  <si>
    <t>Φεστιβάλ Βάδην</t>
  </si>
  <si>
    <t>Σφαίρα</t>
  </si>
  <si>
    <t>Μαρία Πολομαρκάκη</t>
  </si>
  <si>
    <t>10.95</t>
  </si>
  <si>
    <t>Φωτεινή Κυριακίδου</t>
  </si>
  <si>
    <t>Διασυλλογικοί Α/Γ</t>
  </si>
  <si>
    <t>Σφύρα</t>
  </si>
  <si>
    <t>35.63</t>
  </si>
  <si>
    <t>Βαρύ 'Οργανο</t>
  </si>
  <si>
    <t>10.72</t>
  </si>
  <si>
    <t>Ζεύξεια</t>
  </si>
  <si>
    <t>4.10.55</t>
  </si>
  <si>
    <t>Αθήνα, Παλλήνη</t>
  </si>
  <si>
    <t>Αγώνες Αμεινίας</t>
  </si>
  <si>
    <t>34.31.70</t>
  </si>
  <si>
    <t>1:51.59</t>
  </si>
  <si>
    <t>Ησάιας Τσιτόγλου</t>
  </si>
  <si>
    <t>53.08.07</t>
  </si>
  <si>
    <t>Διασυλλογικό Πρωτάθλημα Α/Γ</t>
  </si>
  <si>
    <t>Τριπλούν</t>
  </si>
  <si>
    <t>Δημήτριος Τσιάμης</t>
  </si>
  <si>
    <t>(-0.3)</t>
  </si>
  <si>
    <t>Ακόντιο</t>
  </si>
  <si>
    <t>69.43</t>
  </si>
  <si>
    <t>Γεώργιος Ήλτσιος</t>
  </si>
  <si>
    <t>Φωτιάδεια</t>
  </si>
  <si>
    <t>5.40</t>
  </si>
  <si>
    <t>4.20</t>
  </si>
  <si>
    <t>Ευθύμιος Ανδρέογλου</t>
  </si>
  <si>
    <t>Σέρρες</t>
  </si>
  <si>
    <t>Σταύρος Τσίτουρας</t>
  </si>
  <si>
    <t>3.80</t>
  </si>
  <si>
    <t>3.30</t>
  </si>
  <si>
    <t>3.10</t>
  </si>
  <si>
    <t>2.70</t>
  </si>
  <si>
    <t>2.55</t>
  </si>
  <si>
    <t>2.40</t>
  </si>
  <si>
    <t>Ρήγας Ευσταθιάδης</t>
  </si>
  <si>
    <t>Ηλίας Σακελλαριάδης</t>
  </si>
  <si>
    <t>Νικόλαος Δέδες</t>
  </si>
  <si>
    <t>Αθήνα, Φιλοθέη</t>
  </si>
  <si>
    <t>Μπρισμπέιν, Αυστραλία</t>
  </si>
  <si>
    <t>18.92</t>
  </si>
  <si>
    <t>Μιχαήλ Σταματόγιαννης</t>
  </si>
  <si>
    <t>Τουρνόβ, Τσεχία</t>
  </si>
  <si>
    <t>Μήτινγκ</t>
  </si>
  <si>
    <t>15.57</t>
  </si>
  <si>
    <t>Στέφανος Πετράκης</t>
  </si>
  <si>
    <t>18.62</t>
  </si>
  <si>
    <t>Σπυρίδων Ζουλιέν</t>
  </si>
  <si>
    <t>2:55.59</t>
  </si>
  <si>
    <t>Ιώαννης Ζώρζος</t>
  </si>
  <si>
    <t>16.1</t>
  </si>
  <si>
    <t xml:space="preserve">Πανελλήνιο Πρωτάθλημα </t>
  </si>
  <si>
    <t>Άρης Καραγιώργος</t>
  </si>
  <si>
    <t>Χρήστος Καραγιώργος</t>
  </si>
  <si>
    <t>Γεώργιος Φακιολάς</t>
  </si>
  <si>
    <t>Ιωάννης Κυρδήμος</t>
  </si>
  <si>
    <t>13.44.07</t>
  </si>
  <si>
    <t>12.46.9</t>
  </si>
  <si>
    <t>13.53.83</t>
  </si>
  <si>
    <t>Ιωάννης Τσίχλας</t>
  </si>
  <si>
    <t>13.29.0</t>
  </si>
  <si>
    <t>Κέρκυρα</t>
  </si>
  <si>
    <t>16.14.0</t>
  </si>
  <si>
    <t>16.58.68</t>
  </si>
  <si>
    <t>Γεώργιος Μπιστόλας</t>
  </si>
  <si>
    <t>18.58.35</t>
  </si>
  <si>
    <t>20.52.0</t>
  </si>
  <si>
    <t>24.17.05</t>
  </si>
  <si>
    <t>23.23.1</t>
  </si>
  <si>
    <t>24.26.99</t>
  </si>
  <si>
    <t>Κωνσταντίνος Καμπάς</t>
  </si>
  <si>
    <t>43.57.6</t>
  </si>
  <si>
    <t>43.26.2</t>
  </si>
  <si>
    <t>46.36.0</t>
  </si>
  <si>
    <t>Εσκιλστούνα, Φινλανδία</t>
  </si>
  <si>
    <t>1:02.25</t>
  </si>
  <si>
    <t>1:03.47</t>
  </si>
  <si>
    <t>Γιβάσκιλα, Φινλανδία</t>
  </si>
  <si>
    <t>1:29.15</t>
  </si>
  <si>
    <t>1:30.23</t>
  </si>
  <si>
    <t>1:33.03</t>
  </si>
  <si>
    <t>2:15.35</t>
  </si>
  <si>
    <t>Σπυρίδων Καστάνης</t>
  </si>
  <si>
    <t>Παύλος Μπασδέκης</t>
  </si>
  <si>
    <t>1.90</t>
  </si>
  <si>
    <t>Γεώργιος Φαρμάκης</t>
  </si>
  <si>
    <t>1.50</t>
  </si>
  <si>
    <t>Δημήτριος Καττής</t>
  </si>
  <si>
    <t>2.17</t>
  </si>
  <si>
    <t>1.95</t>
  </si>
  <si>
    <t>1.88</t>
  </si>
  <si>
    <t>Δημήτριος Πατρώνης</t>
  </si>
  <si>
    <t>1.60</t>
  </si>
  <si>
    <t>1.34</t>
  </si>
  <si>
    <t>1.16</t>
  </si>
  <si>
    <t>Κωνσταντίνος Τζίβας</t>
  </si>
  <si>
    <t>Μήκος</t>
  </si>
  <si>
    <t>7.53</t>
  </si>
  <si>
    <t>(0.7)</t>
  </si>
  <si>
    <t>Αργοστόλι</t>
  </si>
  <si>
    <t>Βεργώτεια</t>
  </si>
  <si>
    <t>6.37</t>
  </si>
  <si>
    <t>5.92</t>
  </si>
  <si>
    <t>5.28</t>
  </si>
  <si>
    <t>4.83</t>
  </si>
  <si>
    <t>4.08</t>
  </si>
  <si>
    <t>3.57</t>
  </si>
  <si>
    <t>13.60</t>
  </si>
  <si>
    <t>12.88</t>
  </si>
  <si>
    <t>Οδυσσέας Σκαματζούρας</t>
  </si>
  <si>
    <t>Ζιτάου, Γερμανία</t>
  </si>
  <si>
    <t>Μπρίσμπεϊν, Αυστραλία</t>
  </si>
  <si>
    <t>Δημήτριος Μαρκούτης</t>
  </si>
  <si>
    <t>8.24</t>
  </si>
  <si>
    <t>7.60</t>
  </si>
  <si>
    <t>3.85</t>
  </si>
  <si>
    <t>6.42</t>
  </si>
  <si>
    <t>Ιμπράιμ Φαναρτζής</t>
  </si>
  <si>
    <t>Βασίλειος Μαγγανάς</t>
  </si>
  <si>
    <t>Αθανάσιος Δαλιάνης</t>
  </si>
  <si>
    <t>16.89</t>
  </si>
  <si>
    <t>16.18</t>
  </si>
  <si>
    <t>16.51</t>
  </si>
  <si>
    <t>15.44</t>
  </si>
  <si>
    <t>13.79</t>
  </si>
  <si>
    <t>13.36</t>
  </si>
  <si>
    <t>Διονύσιος Αυγουστάτος</t>
  </si>
  <si>
    <t>10.70</t>
  </si>
  <si>
    <t>Μιλτιάδης Μπουφίδης</t>
  </si>
  <si>
    <t>9.96</t>
  </si>
  <si>
    <t>3.65</t>
  </si>
  <si>
    <t>Δίσκος</t>
  </si>
  <si>
    <t>55.95</t>
  </si>
  <si>
    <t>Στυλιανός Αγγλούπας</t>
  </si>
  <si>
    <t>48.80</t>
  </si>
  <si>
    <t>Άγγελος Νικολάιδης</t>
  </si>
  <si>
    <t>58.50</t>
  </si>
  <si>
    <t>56.74</t>
  </si>
  <si>
    <t>46.72</t>
  </si>
  <si>
    <t>Νικόλαος Τσιάρας</t>
  </si>
  <si>
    <t>Σπυρίδων Ροντογιάννης</t>
  </si>
  <si>
    <t>47.20</t>
  </si>
  <si>
    <t>Λεμεσσός, Κύπρος</t>
  </si>
  <si>
    <t>Βασίλειος Κυριακίδης</t>
  </si>
  <si>
    <t>32.42</t>
  </si>
  <si>
    <t>Μιχαήλ Μπίλιος</t>
  </si>
  <si>
    <t>11.59</t>
  </si>
  <si>
    <t>Ναπολέων Ντέμος</t>
  </si>
  <si>
    <t>77.07</t>
  </si>
  <si>
    <t>67.35</t>
  </si>
  <si>
    <t>Αλέξανδρος Παπαδημητρίου</t>
  </si>
  <si>
    <t>58.54</t>
  </si>
  <si>
    <t>58.96</t>
  </si>
  <si>
    <t>56.08</t>
  </si>
  <si>
    <t>59.97</t>
  </si>
  <si>
    <t>54.80</t>
  </si>
  <si>
    <t>31.48</t>
  </si>
  <si>
    <t>29.32</t>
  </si>
  <si>
    <t>17.43</t>
  </si>
  <si>
    <t>M80 (400)</t>
  </si>
  <si>
    <t>65.80</t>
  </si>
  <si>
    <t>Γεώργιος Κοτζιάς</t>
  </si>
  <si>
    <t>Ρώμη, Ιταλία</t>
  </si>
  <si>
    <t>62.44</t>
  </si>
  <si>
    <t>52.40</t>
  </si>
  <si>
    <t>Χρήστος Πιερράκος</t>
  </si>
  <si>
    <t>45.02</t>
  </si>
  <si>
    <t>43.44</t>
  </si>
  <si>
    <t>Βασίλειος Κοκκόλης</t>
  </si>
  <si>
    <t>36.97</t>
  </si>
  <si>
    <t>Συμεών Ρόμπες</t>
  </si>
  <si>
    <t>18.66</t>
  </si>
  <si>
    <t>22.82</t>
  </si>
  <si>
    <t>20.21</t>
  </si>
  <si>
    <t>23.12</t>
  </si>
  <si>
    <t>20.00</t>
  </si>
  <si>
    <t>Λάχτι, Φινλανδία</t>
  </si>
  <si>
    <t>Πυγμαλίων Νέπκας</t>
  </si>
  <si>
    <t>Δημήτριος Γαζής</t>
  </si>
  <si>
    <t>61.46 - 16.30 - 32.86 - 41.04 - 18.66</t>
  </si>
  <si>
    <t>27.2</t>
  </si>
  <si>
    <t>32.19 - 11.05 - 30.29 - 34.95 - 9.09)</t>
  </si>
  <si>
    <t>56.69 - 16.18 - 37.22 - 42.33 - 18.92</t>
  </si>
  <si>
    <t>57.90 - 15.98 - 41.61 - 39.61 - 20.77</t>
  </si>
  <si>
    <t>54.05 - 14.51 - 35.68 - 35.87 - 17.97</t>
  </si>
  <si>
    <t>51.73 - 14.08 - 35.80 32.13 -18.59</t>
  </si>
  <si>
    <t>46.66 - 13.71 - 34.72 - 26.30 - 17.26</t>
  </si>
  <si>
    <t>Δημήτριος Αποστολίδης</t>
  </si>
  <si>
    <t>4.78 30.78 - 26.08 - 20.38 - 5.07.87</t>
  </si>
  <si>
    <t>Νικόλαος Αρβανίτης</t>
  </si>
  <si>
    <t>6.15 - 45.55 - 25.19 - 35.70 - 5.32.15</t>
  </si>
  <si>
    <t>6.37 - 44.42 - 25.29 - 38.00 - 5.33.2</t>
  </si>
  <si>
    <t>Δημήτριος Χαϊτίδης</t>
  </si>
  <si>
    <t>4.66 - 30.11 - 29.44 - 36.83 - 6.31.67</t>
  </si>
  <si>
    <t>11.98 - 6.60 - 13.07 - 1.91 - 54.89 - 15.93 - 38.92 - 4.30 - 50.23 - 4.59.14</t>
  </si>
  <si>
    <t>11.89 - 6.35 - 10.16 - 1.84 - 57.15 - 16.81 - 35.13 - 3.80 - 45.54 - 5.49.22</t>
  </si>
  <si>
    <t>Κωνσταντίνος Χαμουρούδης</t>
  </si>
  <si>
    <t>14.18 - 4.75 - 9.83 - 1.31 - 68.90 - 19.66 - 35.92 - 2.40 - 28.17 - 6.24.59</t>
  </si>
  <si>
    <t>Ημερίδα</t>
  </si>
  <si>
    <t xml:space="preserve">Νικόλαος Αρβανίτης (21.8.1967)  </t>
  </si>
  <si>
    <t>Παύλος Χαραλαμπίδης (21.8.1948)</t>
  </si>
  <si>
    <t>Σπυρίδων Σκορδίλης (10.7.1960)</t>
  </si>
  <si>
    <t>Ιωάννης Χουλίδης (25.8.1952)</t>
  </si>
  <si>
    <t>Σπυρίδων Μπακάλης (19.3.1958)</t>
  </si>
  <si>
    <t>Γεώργιος Αλέξης (3.5.1959)</t>
  </si>
  <si>
    <t>Δημήτριος Χαϊτίδης (24.03.1958)</t>
  </si>
  <si>
    <t>56.31</t>
  </si>
  <si>
    <t>Ευστράτιος Συμεωνίδης (24.1.1954)</t>
  </si>
  <si>
    <t>Βασίλειος Ανδρεάδης (14.2.1954)</t>
  </si>
  <si>
    <t>Ιωάννης Δρουδάκης (16.8.1953)</t>
  </si>
  <si>
    <t>ΣΥΒΑΣ ΛΑΡΙΣΑΣ</t>
  </si>
  <si>
    <t>1.14.43</t>
  </si>
  <si>
    <t>Κωνσταντίνος Χατζηεμμανουήλ (25.1.1929)</t>
  </si>
  <si>
    <t>Αναστάσιος Μπέκος (8.2.1935)</t>
  </si>
  <si>
    <t>Συμεών Συμεωνίδης (23.12.1933)</t>
  </si>
  <si>
    <t>Κοσμάς Καπασακάλης (9.6.1934)</t>
  </si>
  <si>
    <t>Γεώργιος Γκουζώνης (17.4.1980)</t>
  </si>
  <si>
    <t>Χρήστος Ψαρογιώργος (24.11.1974)</t>
  </si>
  <si>
    <t>4.17.6</t>
  </si>
  <si>
    <t>Οδυσσέας Άγρος (30.10.1957)</t>
  </si>
  <si>
    <t>Βασίλειος Μακαντάνης (1.3.1961)</t>
  </si>
  <si>
    <t>4.42.08</t>
  </si>
  <si>
    <t>Γ. Κουνούπης (20.6.1957)</t>
  </si>
  <si>
    <t>5.56.52</t>
  </si>
  <si>
    <t>Παύλος Μπασδέκης (20.5.1946)</t>
  </si>
  <si>
    <t>Κωνσταντίνος Παπαδάτος (1.11.1945)</t>
  </si>
  <si>
    <t>Λ. Διακάτος (21.10.1943)</t>
  </si>
  <si>
    <t>3.44.40</t>
  </si>
  <si>
    <t>3.44.63</t>
  </si>
  <si>
    <t>4.03.44</t>
  </si>
  <si>
    <t>4.07.50</t>
  </si>
  <si>
    <t>Συμεών Χατζηαθανασίου (13.2.1961)</t>
  </si>
  <si>
    <t>5.37.4</t>
  </si>
  <si>
    <t>Δημήτριος Ομηρίδης (10.1.1945)</t>
  </si>
  <si>
    <t>Χαράλαμπος Τοτκαλίδης (18.11.1947)</t>
  </si>
  <si>
    <t>4.39.85</t>
  </si>
  <si>
    <t>4.31.5</t>
  </si>
  <si>
    <t>Σ. Καραγιαννόπουλος (10.7.1960)</t>
  </si>
  <si>
    <t>11.32</t>
  </si>
  <si>
    <t>Παρακευή Πατουλίδου</t>
  </si>
  <si>
    <t>13.02</t>
  </si>
  <si>
    <t>13.14</t>
  </si>
  <si>
    <t>Άννα Δάφτσου</t>
  </si>
  <si>
    <t>Αναστασία Θωμάιδου</t>
  </si>
  <si>
    <t>Παπαναστάσεια</t>
  </si>
  <si>
    <t>13.99</t>
  </si>
  <si>
    <t>Μαρία Μουρατίδου</t>
  </si>
  <si>
    <t>17.29</t>
  </si>
  <si>
    <t>17.6</t>
  </si>
  <si>
    <t>18.02</t>
  </si>
  <si>
    <t>18.85</t>
  </si>
  <si>
    <t>Ελένη Γκούζια</t>
  </si>
  <si>
    <t>Μαρία Σιακούλη</t>
  </si>
  <si>
    <t>20.9</t>
  </si>
  <si>
    <t>22.04</t>
  </si>
  <si>
    <t>Γεωργία Βαρέλη</t>
  </si>
  <si>
    <t>28.00</t>
  </si>
  <si>
    <t>33.90</t>
  </si>
  <si>
    <t>2.13.69</t>
  </si>
  <si>
    <t>Χριστιάννα Γαρίδη</t>
  </si>
  <si>
    <t>27.10</t>
  </si>
  <si>
    <t>35.22</t>
  </si>
  <si>
    <t>Ελένη Παπαδημητρίου</t>
  </si>
  <si>
    <t>Εδεσσα</t>
  </si>
  <si>
    <t>40.89</t>
  </si>
  <si>
    <t>46.45</t>
  </si>
  <si>
    <t>1.03.59</t>
  </si>
  <si>
    <t>1.21.86</t>
  </si>
  <si>
    <t>Σοφία Κατάκη</t>
  </si>
  <si>
    <t>Λώρενς ΜακΓκάουαν (09.02.1968)</t>
  </si>
  <si>
    <t>3:38.45</t>
  </si>
  <si>
    <t>2:06.15</t>
  </si>
  <si>
    <t xml:space="preserve">Άλκιστης Κατσικαδέλη </t>
  </si>
  <si>
    <t>1.10.23</t>
  </si>
  <si>
    <t>Ζωή Γεωργοπούλου</t>
  </si>
  <si>
    <t>Μπαρ, Μαυροβούνιο</t>
  </si>
  <si>
    <t>1.30.7</t>
  </si>
  <si>
    <t>1.20.0</t>
  </si>
  <si>
    <t>1.48.37</t>
  </si>
  <si>
    <t>1.56.57</t>
  </si>
  <si>
    <t>Σμαράγδα Μανδύλα</t>
  </si>
  <si>
    <t>2.05.34</t>
  </si>
  <si>
    <t>Μαρία Παπαδόπουλου</t>
  </si>
  <si>
    <t>2.37.67</t>
  </si>
  <si>
    <t>Βασιλική Καραγεωργάκη</t>
  </si>
  <si>
    <t>Δέσποινα Βίγκα</t>
  </si>
  <si>
    <t>3.56.86</t>
  </si>
  <si>
    <t>4.25.74</t>
  </si>
  <si>
    <t>5.08.59</t>
  </si>
  <si>
    <t>5.44.9</t>
  </si>
  <si>
    <t>Μαρία Τσαντίλη</t>
  </si>
  <si>
    <t>9.31.32</t>
  </si>
  <si>
    <t>Κωνσταντίνα Κεφαλά</t>
  </si>
  <si>
    <t>21.15.0</t>
  </si>
  <si>
    <t>16.17.17</t>
  </si>
  <si>
    <t>Σπυριδούλα Σούμα</t>
  </si>
  <si>
    <t>16.20.21</t>
  </si>
  <si>
    <t>Γεωργία Αμπατζίδου</t>
  </si>
  <si>
    <t>18.15.07</t>
  </si>
  <si>
    <t>Ελένη Διακουμοπούλου</t>
  </si>
  <si>
    <t>25.43.4</t>
  </si>
  <si>
    <t>12.45.03</t>
  </si>
  <si>
    <t>Γεωργία Στεφάνου</t>
  </si>
  <si>
    <t>38.05.32</t>
  </si>
  <si>
    <t>57.13.03</t>
  </si>
  <si>
    <t>53.51.70</t>
  </si>
  <si>
    <t>Πλόβντιβ, Βουλγαρία</t>
  </si>
  <si>
    <t>1:16.15</t>
  </si>
  <si>
    <t>Μάγδα Γαζέα</t>
  </si>
  <si>
    <t>Ραχήλ Κυριακίδου</t>
  </si>
  <si>
    <t>Παρασκευή Τζεβελέκη</t>
  </si>
  <si>
    <t>Ρότερνταμ, Ολλανδία</t>
  </si>
  <si>
    <t>2:44.23</t>
  </si>
  <si>
    <t>13.96</t>
  </si>
  <si>
    <t>Αργυρώ Στρατάκη</t>
  </si>
  <si>
    <t>Σχηματάρι</t>
  </si>
  <si>
    <t>18.60</t>
  </si>
  <si>
    <t>Φανή Λύκου</t>
  </si>
  <si>
    <t>Χρυσούλα Δημητροπούλου</t>
  </si>
  <si>
    <t>Σαν Σεμπαστιάν, Ισπανία</t>
  </si>
  <si>
    <t>20.24</t>
  </si>
  <si>
    <t>19.59</t>
  </si>
  <si>
    <t>58.38</t>
  </si>
  <si>
    <t>Χριστίνα Χατζή-Νεάγκ</t>
  </si>
  <si>
    <t>7.52.66</t>
  </si>
  <si>
    <t>Βαρβάρα Γεωργιάδου</t>
  </si>
  <si>
    <t>Καλλιόπη Γαβαλάκη</t>
  </si>
  <si>
    <t>16.06.0</t>
  </si>
  <si>
    <t>14.29.3</t>
  </si>
  <si>
    <t>15.20.0</t>
  </si>
  <si>
    <t>17.16.72</t>
  </si>
  <si>
    <t>Παναγιώτα Φυτίλη</t>
  </si>
  <si>
    <t>Κοσμή Μπενίτη</t>
  </si>
  <si>
    <t>22.30.0</t>
  </si>
  <si>
    <t>25.36.10</t>
  </si>
  <si>
    <t>Βενετία, Ιταλία</t>
  </si>
  <si>
    <t>27.33.62</t>
  </si>
  <si>
    <t>49.29.94</t>
  </si>
  <si>
    <t>1:09.10</t>
  </si>
  <si>
    <t>1:10.42</t>
  </si>
  <si>
    <t>Άννα Δάφτσου (25.10.1970)</t>
  </si>
  <si>
    <t>Φανή Λύκου (13.02.1976)</t>
  </si>
  <si>
    <t>1.01.23</t>
  </si>
  <si>
    <t>Ανδριάννα Φωτακοπούλου (21.12.1974)</t>
  </si>
  <si>
    <t>Αικατερίνη Σαρρή (14.10.1976)</t>
  </si>
  <si>
    <t xml:space="preserve">Ελένη Ανυφαντή </t>
  </si>
  <si>
    <t>57.18</t>
  </si>
  <si>
    <t>Χριστίνα Μαραγιάννη (25.11.1972)</t>
  </si>
  <si>
    <t>Κρυσταλλία Αθανασοπούλου (18.05.1970)</t>
  </si>
  <si>
    <t>Μαρία Μουρατίδου (12.3.1967)</t>
  </si>
  <si>
    <t>Παρασκευή Σιδερίδου</t>
  </si>
  <si>
    <t>Παρασκευή Σιδερίδου (23.09.1967)</t>
  </si>
  <si>
    <t>Χρυσούλα Δημητροπούλου (25.08.1966)</t>
  </si>
  <si>
    <t>Κάτια Μπίσκα</t>
  </si>
  <si>
    <t>Καίτη Ευαγγελοπούλου</t>
  </si>
  <si>
    <t>1.11.93</t>
  </si>
  <si>
    <t>6.02.17</t>
  </si>
  <si>
    <t>ΣΕΒΑΣ ΘΕΣ/ΚΗΣ</t>
  </si>
  <si>
    <t>7.00.90</t>
  </si>
  <si>
    <t>Αθηνά Βαϊνά (8.12.59)</t>
  </si>
  <si>
    <t xml:space="preserve">Αριάδνη Τσαχάκη </t>
  </si>
  <si>
    <t>4.15.03</t>
  </si>
  <si>
    <t>Αναστασία Θωμάιδου (30.1.1978)</t>
  </si>
  <si>
    <t>Κυριακή Τραμπίδου (1.7.1967)</t>
  </si>
  <si>
    <t>4.51.57</t>
  </si>
  <si>
    <t>1.85</t>
  </si>
  <si>
    <t>Νίκη Μπακογιάννη</t>
  </si>
  <si>
    <t>1.39</t>
  </si>
  <si>
    <t>1.35</t>
  </si>
  <si>
    <t>Σοφία Φιλιππάκη</t>
  </si>
  <si>
    <t>Ελένη Κλαπανάρα</t>
  </si>
  <si>
    <t>6.11</t>
  </si>
  <si>
    <t>5.13</t>
  </si>
  <si>
    <t>3.28</t>
  </si>
  <si>
    <t>3.49</t>
  </si>
  <si>
    <t>Αγνή Γεωργίου</t>
  </si>
  <si>
    <t>12.09</t>
  </si>
  <si>
    <t>11.89</t>
  </si>
  <si>
    <t xml:space="preserve">Χαλκίδα </t>
  </si>
  <si>
    <t>8.48</t>
  </si>
  <si>
    <t>7.70</t>
  </si>
  <si>
    <t>Ταρσή Τριανταφυλλάκη</t>
  </si>
  <si>
    <t>Πουέρτο Ρίκο</t>
  </si>
  <si>
    <t>16.92</t>
  </si>
  <si>
    <t>13.03</t>
  </si>
  <si>
    <t>11.52</t>
  </si>
  <si>
    <t>Σοφία Φιλιπάκη</t>
  </si>
  <si>
    <t>11.30</t>
  </si>
  <si>
    <t>Μάγδα Ροϊλλίδου</t>
  </si>
  <si>
    <t>6.44</t>
  </si>
  <si>
    <t>5.86</t>
  </si>
  <si>
    <t>4.65</t>
  </si>
  <si>
    <t>50.00</t>
  </si>
  <si>
    <t>30.00</t>
  </si>
  <si>
    <t>28.20</t>
  </si>
  <si>
    <t>Αρετή Αμπατζή</t>
  </si>
  <si>
    <t>Μαρία Δάλλα</t>
  </si>
  <si>
    <t>Χλόη Αγγλούπα</t>
  </si>
  <si>
    <t>45.92</t>
  </si>
  <si>
    <t>Ιωάννα Πανάβογλου</t>
  </si>
  <si>
    <t>63.61</t>
  </si>
  <si>
    <t>Αμαλία Λάμπουρα</t>
  </si>
  <si>
    <t>Σάββα Λίκα</t>
  </si>
  <si>
    <t>Σοφία Σακοράφα</t>
  </si>
  <si>
    <t>Χανιά</t>
  </si>
  <si>
    <t>58.56</t>
  </si>
  <si>
    <t>47.23</t>
  </si>
  <si>
    <t>25.55</t>
  </si>
  <si>
    <t>24.25</t>
  </si>
  <si>
    <t>26.30</t>
  </si>
  <si>
    <t>12.60</t>
  </si>
  <si>
    <t>13.35</t>
  </si>
  <si>
    <t>Γκέιτσχεντ, Μ. Βρετανία</t>
  </si>
  <si>
    <t>33.44 - 9.47 - 28.65 - 21.62 - 10.30</t>
  </si>
  <si>
    <t>18.04 - 1.14 - 8.02 - 36.90 - 3.20 - 15.15 - 3.51.05</t>
  </si>
  <si>
    <t>19.59 - 1.06 - 7.54 - 38.74 - 3.49 - 19.34 - 3.58.16</t>
  </si>
  <si>
    <t>63.13</t>
  </si>
  <si>
    <t>Οζάκα, Ιαπωνία</t>
  </si>
  <si>
    <t>Παγκόσμιο Πρωτάθλημα Α/Γ</t>
  </si>
  <si>
    <t>34.17.82</t>
  </si>
  <si>
    <t>1.06</t>
  </si>
  <si>
    <t>38.74</t>
  </si>
  <si>
    <t>39.69</t>
  </si>
  <si>
    <t>37.60 - 8.21 - 32.69 - 19.69 - 12.45</t>
  </si>
  <si>
    <t>39.60 - 8.74 - 33.28 - 19.68 - 12.98</t>
  </si>
  <si>
    <t>22.60 - 1.08 - 6.74 - 3.55 - 4.00.81</t>
  </si>
  <si>
    <t>13.96 - 1.73 - 13.48 - 25.09 - 6.11 - 44.09 - 2.14.74</t>
  </si>
  <si>
    <t>15.32 - 1.38 - 7.32 - 29.38 - 4.94 - 22.79 - 3.36.78</t>
  </si>
  <si>
    <t>3.023 (παλ. βαθμ.)</t>
  </si>
  <si>
    <t>18.60 - 1.09 - 7.82 - 37.95 - 3.23 - 21.80 - 3.51.52</t>
  </si>
  <si>
    <t>Αριστείδης Μάρας (27.2.1946)</t>
  </si>
  <si>
    <t>Κωνσταντίνος Κομματάς (28.10.1957)</t>
  </si>
  <si>
    <t>Δημήτριος Κυρίμης (24.2.1956)</t>
  </si>
  <si>
    <t>22.09.9</t>
  </si>
  <si>
    <t>Τρίτσεια</t>
  </si>
  <si>
    <t>Ημερίδα ΣΕΓΑΣ</t>
  </si>
  <si>
    <t>Ημερίδα ρίψεων</t>
  </si>
  <si>
    <t>Τρίαθλο Ρίψεων</t>
  </si>
  <si>
    <t>25.33.0</t>
  </si>
  <si>
    <t>Βασιλική Γαζή</t>
  </si>
  <si>
    <t>30.50.0</t>
  </si>
  <si>
    <t>29.53.0</t>
  </si>
  <si>
    <t>Βασ. Μονογνιού</t>
  </si>
  <si>
    <t>Μαριάννα Τρούλη</t>
  </si>
  <si>
    <t>32.25.61</t>
  </si>
  <si>
    <t>13.17.01</t>
  </si>
  <si>
    <t>Ανδρέας Πασπαλιάρης</t>
  </si>
  <si>
    <t>26.66</t>
  </si>
  <si>
    <t>Γρηγόριος Σαββίδης</t>
  </si>
  <si>
    <t>13.35 - 5.18 - 10.38 - 1.50 - 63.48 - 21.21 - 27.01 - 1.90 - 45.76 - 5.57.56</t>
  </si>
  <si>
    <t>2.19.7</t>
  </si>
  <si>
    <t>Σπυρίδων Σκορδίλης</t>
  </si>
  <si>
    <t>Δημήτριος Ομηρίδης</t>
  </si>
  <si>
    <t>36.71</t>
  </si>
  <si>
    <t>Αθήνα, Κηφισιά</t>
  </si>
  <si>
    <t xml:space="preserve">Ευσταθιάδεια </t>
  </si>
  <si>
    <t>10.92</t>
  </si>
  <si>
    <t>Βλαδίμηρος Ντεκάιλο</t>
  </si>
  <si>
    <t>24.68</t>
  </si>
  <si>
    <t>Βελιγράδι, Σερβία</t>
  </si>
  <si>
    <t>Παντελής Χρυσόχος</t>
  </si>
  <si>
    <t>Gala</t>
  </si>
  <si>
    <t>9.22.31</t>
  </si>
  <si>
    <t>27.95 - 9.48 - 26.10 - 15.54 - 7.81</t>
  </si>
  <si>
    <t>24.33 - 10.32 - 26.39 - 20.08 - 9.79</t>
  </si>
  <si>
    <t>1.52</t>
  </si>
  <si>
    <t>Σάβα Λίκα</t>
  </si>
  <si>
    <t>56.25</t>
  </si>
  <si>
    <t>2.37</t>
  </si>
  <si>
    <t>Φίλιππα Πουλίδου</t>
  </si>
  <si>
    <t>6.46.2</t>
  </si>
  <si>
    <t>Σταυρούλα Παπαβασιλείου</t>
  </si>
  <si>
    <t>23.22.4</t>
  </si>
  <si>
    <t>21.25.56</t>
  </si>
  <si>
    <t>Μάλμοε, Σουηδία</t>
  </si>
  <si>
    <t>15.30</t>
  </si>
  <si>
    <t>Κρίστιανσαντ, Νορβηγία</t>
  </si>
  <si>
    <t>Άννα Δάφτσου (25.09.1970)</t>
  </si>
  <si>
    <t>5.24.37</t>
  </si>
  <si>
    <t>Νικολέτα Κυριακοπούλου</t>
  </si>
  <si>
    <t>Ανδρέας Ρίζος</t>
  </si>
  <si>
    <t>3.60</t>
  </si>
  <si>
    <t>Σπανίδεια</t>
  </si>
  <si>
    <t>13.51</t>
  </si>
  <si>
    <t>5.16</t>
  </si>
  <si>
    <t>Δημητρούλα Καραμανώλη</t>
  </si>
  <si>
    <t>21.95 - 9.77 - 20.10 -19.30 - 9.45</t>
  </si>
  <si>
    <t>11.41.93</t>
  </si>
  <si>
    <t>1.58.69</t>
  </si>
  <si>
    <t xml:space="preserve">Βόλος </t>
  </si>
  <si>
    <t>28.29.04</t>
  </si>
  <si>
    <t>2.02.0</t>
  </si>
  <si>
    <t>2.02.76</t>
  </si>
  <si>
    <t>10.13</t>
  </si>
  <si>
    <t>1.15</t>
  </si>
  <si>
    <t>26.88</t>
  </si>
  <si>
    <t>26.85</t>
  </si>
  <si>
    <t>Λαμία</t>
  </si>
  <si>
    <t>4.70</t>
  </si>
  <si>
    <t xml:space="preserve">Νανσύ, Γαλλία </t>
  </si>
  <si>
    <t>Meeting</t>
  </si>
  <si>
    <t>3:41.50</t>
  </si>
  <si>
    <t>Βερολίνο, Γερμανία</t>
  </si>
  <si>
    <t>Διεθνής Μαραθώνιος</t>
  </si>
  <si>
    <t>Μίνα Ράπτη</t>
  </si>
  <si>
    <t>Παντελής Χρυσοχός</t>
  </si>
  <si>
    <t>21.40.03</t>
  </si>
  <si>
    <t>8:01.58</t>
  </si>
  <si>
    <t>Αθήνα, Γαλάτσι</t>
  </si>
  <si>
    <t>19.47</t>
  </si>
  <si>
    <t xml:space="preserve">Ημερίδα </t>
  </si>
  <si>
    <t>21.55</t>
  </si>
  <si>
    <t>Νόβο Μέστο, Σλοβενία</t>
  </si>
  <si>
    <t>24.38</t>
  </si>
  <si>
    <t>1:17.55</t>
  </si>
  <si>
    <t>4.55.14</t>
  </si>
  <si>
    <t>2:46.05</t>
  </si>
  <si>
    <t>Παναγιώτης Γιαμαίος</t>
  </si>
  <si>
    <t>Μαραθώνιος Μεγ. Αλέξανδρος</t>
  </si>
  <si>
    <t>(+0.8)</t>
  </si>
  <si>
    <t>Αυστραλία</t>
  </si>
  <si>
    <t>27.93</t>
  </si>
  <si>
    <t>(-0.5)</t>
  </si>
  <si>
    <t xml:space="preserve">Κωνσταντίνος Δουβαλίδης </t>
  </si>
  <si>
    <t>Ηράκλεια</t>
  </si>
  <si>
    <t>10.46</t>
  </si>
  <si>
    <t>Αγώνες Διαχρονικών Αθλητών</t>
  </si>
  <si>
    <t>8.96</t>
  </si>
  <si>
    <t>56.00</t>
  </si>
  <si>
    <t>17.15.67</t>
  </si>
  <si>
    <t>3.24</t>
  </si>
  <si>
    <t>4.19.93</t>
  </si>
  <si>
    <t>Αθήνα, Βύρωνας</t>
  </si>
  <si>
    <t>Φεστιβάλ Δρόμων</t>
  </si>
  <si>
    <t>4.42.05</t>
  </si>
  <si>
    <t>(+0.4)</t>
  </si>
  <si>
    <t>21.06.4</t>
  </si>
  <si>
    <t>Τάμπερε, Φιλανδία</t>
  </si>
  <si>
    <t>27.44 - 10.37 - 23.19 - 18.35 - 10.04</t>
  </si>
  <si>
    <t>27.44</t>
  </si>
  <si>
    <t>10.15.86</t>
  </si>
  <si>
    <t>11.09</t>
  </si>
  <si>
    <t>1.81</t>
  </si>
  <si>
    <t>(+1.4)</t>
  </si>
  <si>
    <t>40.32.62</t>
  </si>
  <si>
    <t>27.72</t>
  </si>
  <si>
    <t>32.57 - 8.51 -27.25 - 18.95 - 10.33</t>
  </si>
  <si>
    <t>10.49</t>
  </si>
  <si>
    <t>29.23.0</t>
  </si>
  <si>
    <t>Γεώργιος Πανσέληνας</t>
  </si>
  <si>
    <t>3.27.42</t>
  </si>
  <si>
    <t>37.46</t>
  </si>
  <si>
    <t>Μαρία Κολέτσου</t>
  </si>
  <si>
    <t>8.54.30</t>
  </si>
  <si>
    <t>Δήμος Μαγγίνας</t>
  </si>
  <si>
    <t>Ημερίδα ΟΦΚΑ Οδυσσέα</t>
  </si>
  <si>
    <t>4.41 - 28.92 - 31.37 - 25.39 - 7.13.74</t>
  </si>
  <si>
    <t>15.77 - 3.90 - 7.19 - nm - 88.28 - 18.39 - 20.72 - 1.70 - 17.90 - 9.00.41</t>
  </si>
  <si>
    <t>24.00 - 7.90 - 20.04 - 13.92 - 7.27</t>
  </si>
  <si>
    <t>15.43 - 1.25 - 7.92 - 29.77 - 4.94 - 22.90 - 3.51.83</t>
  </si>
  <si>
    <t>41.12</t>
  </si>
  <si>
    <t>Αγώνες Πέτρος Ακριβάκης</t>
  </si>
  <si>
    <t>11.66</t>
  </si>
  <si>
    <t>69.28</t>
  </si>
  <si>
    <t>3.45.31</t>
  </si>
  <si>
    <t xml:space="preserve">Νικόλαος Γιανναδάκης (25.01.1977)  </t>
  </si>
  <si>
    <t>Κωνσταντίνος Τσιώλης (17.5.1972)</t>
  </si>
  <si>
    <t xml:space="preserve">Αντώνιος Καταντωνάκης (21.09.1977)  </t>
  </si>
  <si>
    <t>4.03.90</t>
  </si>
  <si>
    <t xml:space="preserve">Αθανάσιος Παπάζογλου (21.11.1970)  </t>
  </si>
  <si>
    <t>4.15.19</t>
  </si>
  <si>
    <t>Βαρβάρα Γεωργιάδου (22.01.1980)</t>
  </si>
  <si>
    <t>8.22.41</t>
  </si>
  <si>
    <t>8.37.22</t>
  </si>
  <si>
    <t>27.32.18</t>
  </si>
  <si>
    <t>36.16.80</t>
  </si>
  <si>
    <t>NWI</t>
  </si>
  <si>
    <t>6.48.56</t>
  </si>
  <si>
    <t>22.11.44</t>
  </si>
  <si>
    <t>49.07</t>
  </si>
  <si>
    <t>Μιχάλης Φρουδάκης</t>
  </si>
  <si>
    <t>34.33.00</t>
  </si>
  <si>
    <t>37.19.58</t>
  </si>
  <si>
    <t>Parks half marathon</t>
  </si>
  <si>
    <t>Κλασσικός Μαραθώνιος Αθήνας</t>
  </si>
  <si>
    <t>41.87</t>
  </si>
  <si>
    <t>13.22</t>
  </si>
  <si>
    <t>11.28</t>
  </si>
  <si>
    <t>21.31.5</t>
  </si>
  <si>
    <t>4.10</t>
  </si>
  <si>
    <t>50.89</t>
  </si>
  <si>
    <t>Χαράλαμπος Χατζηιωακειμήδης  (22.01.1972)</t>
  </si>
  <si>
    <t xml:space="preserve">Νικόλαος Ανδρομιδάς (15.04.1972)  </t>
  </si>
  <si>
    <t>54.40</t>
  </si>
  <si>
    <t>Αικατερίνη Ροκάκη (18.07.1984)</t>
  </si>
  <si>
    <t>Μαρία Παναγιωτίδου (18.11.1979)</t>
  </si>
  <si>
    <t>Χρυσάνθη Ριζοπούλου (18.05.1982)</t>
  </si>
  <si>
    <t>Παντελής Τσιγγιζής  (17.10.1960)</t>
  </si>
  <si>
    <t>Συμεών Χατζηαθανασίου (13.02.1961)</t>
  </si>
  <si>
    <t>1.02.83</t>
  </si>
  <si>
    <t>Παντελής Χρυσοχός (15.10.1951)</t>
  </si>
  <si>
    <t>Δημήτριος Ομηρίδης (10.01.1945)</t>
  </si>
  <si>
    <t>Ιωάννης Λυρατζάκης (05.05.1949)</t>
  </si>
  <si>
    <t>1.33.98</t>
  </si>
  <si>
    <t>Παναγιώτης Δούσης (23.09.1933)</t>
  </si>
  <si>
    <t>Κωνσταντίνος Δημητρόπουλος (13.10.1937)</t>
  </si>
  <si>
    <t>Γεώργιος Αλλίμονος (20.02.1942)</t>
  </si>
  <si>
    <t>6.23.19</t>
  </si>
  <si>
    <t>6.21.82</t>
  </si>
  <si>
    <t>Ελένη Νοικοκυράκη (16.04.1958)</t>
  </si>
  <si>
    <t>Αντωνία Μπελαδάκη (23.05.1969)</t>
  </si>
  <si>
    <t>Αναστασία Φιλιππάκη</t>
  </si>
  <si>
    <t>Ιωάννης Βλάχος (26.01.1953)</t>
  </si>
  <si>
    <t>Δημήτριος Ζησόπουλος</t>
  </si>
  <si>
    <t>10.57</t>
  </si>
  <si>
    <t>(+1.0)</t>
  </si>
  <si>
    <t>1.15.83</t>
  </si>
  <si>
    <t xml:space="preserve">Βασίλειος Μαραβέλιας </t>
  </si>
  <si>
    <t>10.79</t>
  </si>
  <si>
    <t>1.17.91</t>
  </si>
  <si>
    <t>Θωμαή Νάσκου (10.09.1967)</t>
  </si>
  <si>
    <t>Γεωργία Στεφάνου (04.04.1963)</t>
  </si>
  <si>
    <t>Αλεξάνδρα Σουλιώτου (11.04.1965)</t>
  </si>
  <si>
    <t>Ελευθερία Σκονδριάνη (11.10.1976)</t>
  </si>
  <si>
    <t>6.22.15</t>
  </si>
  <si>
    <t>5.46.06</t>
  </si>
  <si>
    <t>Φωτεινή Βενέτη (22.06.1979)</t>
  </si>
  <si>
    <t>Ματένια Πρασάκη (04.05.1971)</t>
  </si>
  <si>
    <t>55.25</t>
  </si>
  <si>
    <t xml:space="preserve">Εμμανουήλ Ζανής </t>
  </si>
  <si>
    <t>Λήμνος</t>
  </si>
  <si>
    <t>Αιγαιοπελαγίτικοι Αγώνες</t>
  </si>
  <si>
    <t>Κωνσταντίνος Κομματάς</t>
  </si>
  <si>
    <t>11.30.8</t>
  </si>
  <si>
    <t>3.56</t>
  </si>
  <si>
    <t>3:08.25</t>
  </si>
  <si>
    <t>Θεόδωρος Λυμπερόπουλος</t>
  </si>
  <si>
    <t>5:13.06</t>
  </si>
  <si>
    <t>2:31.44</t>
  </si>
  <si>
    <t>Βαλένθια</t>
  </si>
  <si>
    <t>43.51.98</t>
  </si>
  <si>
    <t>Καμπέρα, Αυστραλία</t>
  </si>
  <si>
    <t>Διεθνής Συνάντηση</t>
  </si>
  <si>
    <t>33.36</t>
  </si>
  <si>
    <t>Τόρουν, Πολωνία</t>
  </si>
  <si>
    <t>1:00.30</t>
  </si>
  <si>
    <t>31.06.69</t>
  </si>
  <si>
    <t xml:space="preserve">Δήμος Μαγγίνας </t>
  </si>
  <si>
    <t>Αίγιο</t>
  </si>
  <si>
    <t>Ελένη Στεφανιδάκη</t>
  </si>
  <si>
    <t>1:10.49</t>
  </si>
  <si>
    <t>Ναύπλιο</t>
  </si>
  <si>
    <t>1:14.37</t>
  </si>
  <si>
    <t xml:space="preserve">Ημαραθώνιος Ναυπλίου </t>
  </si>
  <si>
    <t>21.37</t>
  </si>
  <si>
    <t>Παναγιώτης Τριβυζάς</t>
  </si>
  <si>
    <t>(+0.9)</t>
  </si>
  <si>
    <t>Αλεξάνδρεια</t>
  </si>
  <si>
    <t>Αλεξανδρινό Μeeting</t>
  </si>
  <si>
    <t>Μeeting</t>
  </si>
  <si>
    <t>Ρόδος</t>
  </si>
  <si>
    <t>11.08.00</t>
  </si>
  <si>
    <t>28.05</t>
  </si>
  <si>
    <t>Λουτράκι</t>
  </si>
  <si>
    <t>Θώδεια</t>
  </si>
  <si>
    <t>Μπακογιάννεια</t>
  </si>
  <si>
    <t>19.52.62</t>
  </si>
  <si>
    <t>4.75</t>
  </si>
  <si>
    <t>Μάριος Ευαγγέλου</t>
  </si>
  <si>
    <t>Εαρινό Πρωτάθλημα</t>
  </si>
  <si>
    <t>11.82</t>
  </si>
  <si>
    <t>Χριστίνα Τσακίρογλου</t>
  </si>
  <si>
    <t>5.31 (+0.4) - 35.96 - 29.16 (-4.8) - 34.11 - 7.14.44</t>
  </si>
  <si>
    <t>3.90 (+0.2) - 18.10 - 36.00 (-3.8) - 19.91 - 8.49.18</t>
  </si>
  <si>
    <t>13.61</t>
  </si>
  <si>
    <t>1.12</t>
  </si>
  <si>
    <t>54.91</t>
  </si>
  <si>
    <t>Παναγιωτίδου Μαρία</t>
  </si>
  <si>
    <t>1:04.42</t>
  </si>
  <si>
    <t>Γιάννα Σοούκουποβα</t>
  </si>
  <si>
    <t>5.08.73</t>
  </si>
  <si>
    <t>6.18</t>
  </si>
  <si>
    <t>9.34.28</t>
  </si>
  <si>
    <t>34.55</t>
  </si>
  <si>
    <t>23.40</t>
  </si>
  <si>
    <t>(-1.9)</t>
  </si>
  <si>
    <t>Τρέμπιτς, Τσεχία</t>
  </si>
  <si>
    <t>54.75</t>
  </si>
  <si>
    <t>Πεσκάρα, Ιταλία</t>
  </si>
  <si>
    <t>64.18</t>
  </si>
  <si>
    <t>12.86 (-0.2) - 5.64 (+0.8) - 12.77 - 1.61 - 60.58 - 15.49 (-0.3) - 39.84 - 3.60 - 44.60 - 5.35.29</t>
  </si>
  <si>
    <t>14.33 (-1.1) - 4.51 (+0.5) - 10.23 - 1.33 - 71.16 - 19.47 (-0.6) - 32.20 - 2.80 - 26.82 - 7.00.99</t>
  </si>
  <si>
    <t>57.86</t>
  </si>
  <si>
    <t>51.43</t>
  </si>
  <si>
    <t>13.00</t>
  </si>
  <si>
    <t>2:51.40</t>
  </si>
  <si>
    <t>Ντενίζ Δημάκη</t>
  </si>
  <si>
    <t>Μόναχο</t>
  </si>
  <si>
    <t>Αικατερίνη Ασημακοπούλου</t>
  </si>
  <si>
    <t>2ος Νυχτερινός Ημιαραθώνιος, Φάνης Τσιμιγκάτος</t>
  </si>
  <si>
    <t>2:15.50</t>
  </si>
  <si>
    <t>1:30.13</t>
  </si>
  <si>
    <t>Αντώνιος Λίλος</t>
  </si>
  <si>
    <t>1:19.51</t>
  </si>
  <si>
    <t>10ος Νυχτερινός Ημιαραθώνιος</t>
  </si>
  <si>
    <t>1:29.51</t>
  </si>
  <si>
    <t>1:47.38</t>
  </si>
  <si>
    <t>Σόνια Τσεκίνη</t>
  </si>
  <si>
    <t>Αθηνά Βαϊνά</t>
  </si>
  <si>
    <t>Hράκλειο</t>
  </si>
  <si>
    <t xml:space="preserve">Εμμανουήλ Σηφάκης </t>
  </si>
  <si>
    <t>2:40.27</t>
  </si>
  <si>
    <t>43.03.98</t>
  </si>
  <si>
    <t>9.25.88</t>
  </si>
  <si>
    <t>Αθανάσιος Τσολάκης</t>
  </si>
  <si>
    <t>Μπέρμιγχαμ, Μ. Βρετανία</t>
  </si>
  <si>
    <t>Πανεπιστημιακό Μήτινγκ</t>
  </si>
  <si>
    <t>Αθήνα, Κυψέλη</t>
  </si>
  <si>
    <t>13.6</t>
  </si>
  <si>
    <t>18.78</t>
  </si>
  <si>
    <t>1:33.57</t>
  </si>
  <si>
    <t>Νάπολι</t>
  </si>
  <si>
    <t>11ος Νυχτερινός Ημιμαραθώνιος</t>
  </si>
  <si>
    <t>10ος Νυχτερινός Ημιμαραθώνιος</t>
  </si>
  <si>
    <t>Διεθνής Ημιμαραθώνιος</t>
  </si>
  <si>
    <t>Αλέξανδρος Παπαμιχαήλ</t>
  </si>
  <si>
    <t>Μαργαρίτα Παναγοπούλου</t>
  </si>
  <si>
    <t>Ντούντιντσε, Σλοβακία</t>
  </si>
  <si>
    <t>Διεθνές Μήτινγκ</t>
  </si>
  <si>
    <t>1:50.56</t>
  </si>
  <si>
    <t>Ουρανία Τσούτσια</t>
  </si>
  <si>
    <t>Ολυμπία</t>
  </si>
  <si>
    <t>Ημιμαραθώνιος Ολυμπίας</t>
  </si>
  <si>
    <t>7.14.31</t>
  </si>
  <si>
    <t>Θήβα</t>
  </si>
  <si>
    <t>26.35.0</t>
  </si>
  <si>
    <t>Ανδριάννα Φέρρα</t>
  </si>
  <si>
    <t>2:59.49</t>
  </si>
  <si>
    <t xml:space="preserve">Σουλτάνα Τόκα </t>
  </si>
  <si>
    <t>Αννόβερο, Γερμανία</t>
  </si>
  <si>
    <t>2:38.06</t>
  </si>
  <si>
    <t>Γκλόρια Πριβιλέτζιο</t>
  </si>
  <si>
    <t>2:23.40</t>
  </si>
  <si>
    <t>Φώτης Ζησιμόπουλος</t>
  </si>
  <si>
    <t>Παναγιώτα Πασχαλίδου</t>
  </si>
  <si>
    <t>10.15</t>
  </si>
  <si>
    <t>(+1.2)</t>
  </si>
  <si>
    <t>7.38</t>
  </si>
  <si>
    <t>4.66</t>
  </si>
  <si>
    <t>(+0.5)</t>
  </si>
  <si>
    <t>26.80</t>
  </si>
  <si>
    <t>12.22</t>
  </si>
  <si>
    <t>14.20</t>
  </si>
  <si>
    <t>40.08</t>
  </si>
  <si>
    <t>Ξυλόκαστρο</t>
  </si>
  <si>
    <t>Ζαχαριάδεια</t>
  </si>
  <si>
    <t>Ευστράτιος Συμεωνίδης</t>
  </si>
  <si>
    <t>54.18</t>
  </si>
  <si>
    <t>13.92 (-1.3) - 1.21 - 8.23 - 30.78 (-2.2) - 4.13 (+2.4) - 17.78 - 3.10.08</t>
  </si>
  <si>
    <t xml:space="preserve">30.78 </t>
  </si>
  <si>
    <t>1.21</t>
  </si>
  <si>
    <t>3.90</t>
  </si>
  <si>
    <t>5.66 (+1.7) - 39.38 - 26.97 (-0.9) - 39.94 - 5.51.44</t>
  </si>
  <si>
    <t>4.46 (+2.0) - 25.13 - 29.71 (-0.9) - 27.67 - 6.16.16</t>
  </si>
  <si>
    <t>47.98 - 11.90 - 32.50 - 22.25 - 16.08</t>
  </si>
  <si>
    <t>39.49 - 7.65 - 17.73 - 28.87 - 11.50</t>
  </si>
  <si>
    <t>24.59</t>
  </si>
  <si>
    <t>(-2.5)</t>
  </si>
  <si>
    <t>Χειμωνίδεια</t>
  </si>
  <si>
    <t>5.63</t>
  </si>
  <si>
    <t>(0.0)</t>
  </si>
  <si>
    <t>Δημήτριος Δημητρακόπουλος</t>
  </si>
  <si>
    <t>Βιλαέτεια</t>
  </si>
  <si>
    <t>9.34.82</t>
  </si>
  <si>
    <t>Αλέξιος Αγαμένων Κονταράτος</t>
  </si>
  <si>
    <t>10.03.15</t>
  </si>
  <si>
    <t>19.06.51</t>
  </si>
  <si>
    <t>11.91</t>
  </si>
  <si>
    <t>(+1.9)</t>
  </si>
  <si>
    <t>13.82</t>
  </si>
  <si>
    <t>33.56.47</t>
  </si>
  <si>
    <t>38.39.21</t>
  </si>
  <si>
    <t>1.51</t>
  </si>
  <si>
    <t>56.79</t>
  </si>
  <si>
    <t>48.93</t>
  </si>
  <si>
    <t>17.68</t>
  </si>
  <si>
    <t>13.72</t>
  </si>
  <si>
    <t>Μπίργκιτ Βαν Ντε Βίτζγκαρτ</t>
  </si>
  <si>
    <t>5.46.74</t>
  </si>
  <si>
    <t>13.33</t>
  </si>
  <si>
    <t>43.28.44</t>
  </si>
  <si>
    <t>27.39.24</t>
  </si>
  <si>
    <t>37.13.01</t>
  </si>
  <si>
    <t>29.67</t>
  </si>
  <si>
    <t>Μαρία Τουρσουνίδου</t>
  </si>
  <si>
    <t>2.11.30</t>
  </si>
  <si>
    <t>Λόβοσιτσε, Τσεχία</t>
  </si>
  <si>
    <t>Maelo Meeting</t>
  </si>
  <si>
    <t>8.43.87</t>
  </si>
  <si>
    <t>Γκέτεμποργκ, Σουηδία</t>
  </si>
  <si>
    <t>5.46.82</t>
  </si>
  <si>
    <t>21.09.05</t>
  </si>
  <si>
    <t xml:space="preserve">13.74 (-0.6) - 4.93 (NWI) - 10.31 - 1.54 - 69.42 - 18.38 (-1.2) - 35.16 - 2.80 - 33.74 - dnf </t>
  </si>
  <si>
    <t>2.53.35</t>
  </si>
  <si>
    <t>2.15.96</t>
  </si>
  <si>
    <t>57.12</t>
  </si>
  <si>
    <t>(-3.4)</t>
  </si>
  <si>
    <t>35.24.47</t>
  </si>
  <si>
    <t>12.23.51</t>
  </si>
  <si>
    <t>Mπαρ, Mαυροβούνιο</t>
  </si>
  <si>
    <t>13.13.03</t>
  </si>
  <si>
    <t>23.36.93</t>
  </si>
  <si>
    <t>Πλούμη Αργυρή</t>
  </si>
  <si>
    <t>9.30.56</t>
  </si>
  <si>
    <t>26.68</t>
  </si>
  <si>
    <t>Κωνσταντίνος Μαθιουδάκης</t>
  </si>
  <si>
    <t>56.68</t>
  </si>
  <si>
    <t>22.01.33</t>
  </si>
  <si>
    <t>1:21.59</t>
  </si>
  <si>
    <t>12ος Νυχτερινός Ημιμαραθώνιος</t>
  </si>
  <si>
    <t>1:51.27</t>
  </si>
  <si>
    <t>2.26.98</t>
  </si>
  <si>
    <t>4.19.11</t>
  </si>
  <si>
    <t>1:21.55</t>
  </si>
  <si>
    <t>1.46</t>
  </si>
  <si>
    <t>3.05.42</t>
  </si>
  <si>
    <t>4:06.32</t>
  </si>
  <si>
    <t>16.22.83</t>
  </si>
  <si>
    <t>Αριάδνη Τσαχάκη</t>
  </si>
  <si>
    <t>1.49.70</t>
  </si>
  <si>
    <t>Αριάδνη Τσαχάκη (02.11.1959)</t>
  </si>
  <si>
    <t>Πλούμη Αργυρή (3.7.1952)</t>
  </si>
  <si>
    <t>Νοικοκυράκη</t>
  </si>
  <si>
    <t>3:52.26</t>
  </si>
  <si>
    <t>Βαλένθια, Ισπανία</t>
  </si>
  <si>
    <t>21.38.49</t>
  </si>
  <si>
    <t>3:34.12</t>
  </si>
  <si>
    <t>40.23.54</t>
  </si>
  <si>
    <t>1:22.38.02</t>
  </si>
  <si>
    <t>3.46</t>
  </si>
  <si>
    <t>Αθηνα</t>
  </si>
  <si>
    <t>Ημερίδα ΔΙΑΣ Χαλικάκι</t>
  </si>
  <si>
    <t>27.20</t>
  </si>
  <si>
    <t>Μιλι</t>
  </si>
  <si>
    <t>4.55.98</t>
  </si>
  <si>
    <t>Καλύβας Ιωάννης</t>
  </si>
  <si>
    <t>Χολαργός</t>
  </si>
  <si>
    <t>Ημερίδα Τάσος Ξένος</t>
  </si>
  <si>
    <t>5.07.27</t>
  </si>
  <si>
    <t>Νίνης Ανδρέας</t>
  </si>
  <si>
    <t>6.08.68</t>
  </si>
  <si>
    <t>Βουτσαδάκης Γιώργος</t>
  </si>
  <si>
    <t>5.38.72</t>
  </si>
  <si>
    <t>Μαργώνης Κώστας</t>
  </si>
  <si>
    <t>Ηλιούπολη</t>
  </si>
  <si>
    <t>7.20.75</t>
  </si>
  <si>
    <t>7.40.84</t>
  </si>
  <si>
    <t>Μοσχόπουλος Ευγένιος</t>
  </si>
  <si>
    <t>Μπαροτσινι Μασσιμο</t>
  </si>
  <si>
    <t>Ημιμαραθώνιος Κατερίνης</t>
  </si>
  <si>
    <t>16.43.76</t>
  </si>
  <si>
    <t>Αγιος Δημητριος</t>
  </si>
  <si>
    <t>Ημεριδα Opener</t>
  </si>
  <si>
    <t>Ανδρες</t>
  </si>
  <si>
    <t>200μ</t>
  </si>
  <si>
    <t>100μ</t>
  </si>
  <si>
    <t>400μ</t>
  </si>
  <si>
    <t>800μ</t>
  </si>
  <si>
    <t>1500μ</t>
  </si>
  <si>
    <t>3000μ</t>
  </si>
  <si>
    <t>5000μ</t>
  </si>
  <si>
    <t>10000μ</t>
  </si>
  <si>
    <t>110μ Εμπόδια</t>
  </si>
  <si>
    <t>80μ Εμπόδια</t>
  </si>
  <si>
    <t>400μ Εμπόδια</t>
  </si>
  <si>
    <t>300μ Εμπόδια</t>
  </si>
  <si>
    <t xml:space="preserve">200μ Εμπόδια </t>
  </si>
  <si>
    <t>3000μ ΦΕ</t>
  </si>
  <si>
    <t>2000μ ΦΕ</t>
  </si>
  <si>
    <t>3000μ Βάδην</t>
  </si>
  <si>
    <t>5000μ Βάδην</t>
  </si>
  <si>
    <t>10000μ Βάδην</t>
  </si>
  <si>
    <t>20000μ Βάδην</t>
  </si>
  <si>
    <t>Βαλκανική Σκυτάλη</t>
  </si>
  <si>
    <t>Υψος</t>
  </si>
  <si>
    <t>Επι Κοντώ</t>
  </si>
  <si>
    <t>Βαρύ Οργανο</t>
  </si>
  <si>
    <t>Πένταθλο Ρίψεων</t>
  </si>
  <si>
    <t>Πένταθλο</t>
  </si>
  <si>
    <t>Δέκαθλο</t>
  </si>
  <si>
    <t>Αγώνισμα</t>
  </si>
  <si>
    <t>Κατηγορία</t>
  </si>
  <si>
    <t>Α/Γ</t>
  </si>
  <si>
    <t>Πρ</t>
  </si>
  <si>
    <t>Α</t>
  </si>
  <si>
    <t>Β</t>
  </si>
  <si>
    <t>Φ</t>
  </si>
  <si>
    <t>ΡΕΚΟΡ ΠΟΥ ΚΑΤΑΡΙΦΘΗΚΑΝ</t>
  </si>
  <si>
    <t>Ημερ. Κατάριψης</t>
  </si>
  <si>
    <t>Αναλυση Συνθέτων</t>
  </si>
  <si>
    <t>7.27.91</t>
  </si>
  <si>
    <t>11.29.52</t>
  </si>
  <si>
    <t>12.19.19</t>
  </si>
  <si>
    <t>Αποστολοπουλος Μιχάλης</t>
  </si>
  <si>
    <t>Δούσης Παναγιώτης</t>
  </si>
  <si>
    <t>Ζεύξια</t>
  </si>
  <si>
    <t>41.05.90</t>
  </si>
  <si>
    <t>Καστερίδης Ευστράτιος</t>
  </si>
  <si>
    <t>7.55.71</t>
  </si>
  <si>
    <t>Τζεβελέκου Ευγενία</t>
  </si>
  <si>
    <t>Γυναίκες</t>
  </si>
  <si>
    <t>Πένταθλο Ρίψεων (σφύρα, σφαίρα, δίσκος, ακόντιο, βαρύ)</t>
  </si>
  <si>
    <t>Πένταθλο (80μ.εμπ., ύψος, σφαίρα, μήκος, 800μ.)</t>
  </si>
  <si>
    <t>Έπταθλο (100μ.εμπ./80μ.εμπ, ύψος, σφαίρα, 200μ., μήκος, ακόντιο, 800μ.)</t>
  </si>
  <si>
    <t>Γ</t>
  </si>
  <si>
    <t>2:55.00</t>
  </si>
  <si>
    <t>Μαρκουιζος Χρήστος</t>
  </si>
  <si>
    <t>Αννόβερο Γερμανία</t>
  </si>
  <si>
    <t>Τσελιος Αθανασιος</t>
  </si>
  <si>
    <t>3:05.21</t>
  </si>
  <si>
    <t>Check-Age</t>
  </si>
  <si>
    <t>Σημειώσεις</t>
  </si>
  <si>
    <t>3:25.11</t>
  </si>
  <si>
    <t>3:22.36</t>
  </si>
  <si>
    <t>Αδαμος Αναστασιος</t>
  </si>
  <si>
    <t>Ελεγχος ηλικιας / επίδοσης</t>
  </si>
  <si>
    <t>4:03.28</t>
  </si>
  <si>
    <t>Ελεγχος ηλικιας</t>
  </si>
  <si>
    <t>16.86</t>
  </si>
  <si>
    <t>Μιχαηλίδη Ειρήνη</t>
  </si>
  <si>
    <t>5.46.00</t>
  </si>
  <si>
    <t>Κως</t>
  </si>
  <si>
    <t>56.77</t>
  </si>
  <si>
    <t>Νικόλαος Κόκκος</t>
  </si>
  <si>
    <t>20.13.56</t>
  </si>
  <si>
    <t>5.60</t>
  </si>
  <si>
    <t>10.20</t>
  </si>
  <si>
    <t>1.70</t>
  </si>
  <si>
    <t>2.26.58</t>
  </si>
  <si>
    <t>5.39.21</t>
  </si>
  <si>
    <t>8.79</t>
  </si>
  <si>
    <t>Ελεγχος Ηλικίας ΔΕΝ ΕΊΝΑΙ Γ60&gt;Γ55</t>
  </si>
  <si>
    <t>Χρυσούλα Μακρη</t>
  </si>
  <si>
    <t>20.01.62</t>
  </si>
  <si>
    <t>Ελληνικό</t>
  </si>
  <si>
    <t>0.99</t>
  </si>
  <si>
    <t>0.91</t>
  </si>
  <si>
    <t>0.84</t>
  </si>
  <si>
    <t>0.76</t>
  </si>
  <si>
    <t>0.68</t>
  </si>
  <si>
    <t>7.26</t>
  </si>
  <si>
    <t>6.00</t>
  </si>
  <si>
    <t>6.66</t>
  </si>
  <si>
    <t>5.00</t>
  </si>
  <si>
    <t>4.00</t>
  </si>
  <si>
    <t>3.00</t>
  </si>
  <si>
    <t>2.00</t>
  </si>
  <si>
    <t>1.00</t>
  </si>
  <si>
    <t>15.88</t>
  </si>
  <si>
    <t>11.34</t>
  </si>
  <si>
    <t>9.08</t>
  </si>
  <si>
    <t>5.45</t>
  </si>
  <si>
    <t>0.762</t>
  </si>
  <si>
    <t>0.686</t>
  </si>
  <si>
    <t>35</t>
  </si>
  <si>
    <t>40</t>
  </si>
  <si>
    <t>45</t>
  </si>
  <si>
    <t>50</t>
  </si>
  <si>
    <t>55</t>
  </si>
  <si>
    <t>60</t>
  </si>
  <si>
    <t>65</t>
  </si>
  <si>
    <t>70</t>
  </si>
  <si>
    <t>75</t>
  </si>
  <si>
    <t>80</t>
  </si>
  <si>
    <t>85</t>
  </si>
  <si>
    <t>90</t>
  </si>
  <si>
    <t>95</t>
  </si>
  <si>
    <t>Τεχν</t>
  </si>
  <si>
    <t>5.33.55</t>
  </si>
  <si>
    <t>Διεθνές Gala</t>
  </si>
  <si>
    <t>19.47.78</t>
  </si>
  <si>
    <t>Δραμα</t>
  </si>
  <si>
    <t>12.00</t>
  </si>
  <si>
    <t>34.70</t>
  </si>
  <si>
    <t>3.63</t>
  </si>
  <si>
    <t>5.75 - 42.00 - 26.88 - 39.12 - 5.56.88</t>
  </si>
  <si>
    <t>5.18 - 36.88 - 28.12 - 37.30 - 7.15.84</t>
  </si>
  <si>
    <t>3.63 - 18.67 - 36.53 - 16.76 - 9.44.43</t>
  </si>
  <si>
    <t>Χανια</t>
  </si>
  <si>
    <t>Βενιζέλεια</t>
  </si>
  <si>
    <t>23.16</t>
  </si>
  <si>
    <t>Τσεχία, Pardubice</t>
  </si>
  <si>
    <t>(+0.3)</t>
  </si>
  <si>
    <t>11.28.00</t>
  </si>
  <si>
    <t>56.30</t>
  </si>
  <si>
    <t>Αιγιάλεια 2025</t>
  </si>
  <si>
    <t>Αιγιάλεια</t>
  </si>
  <si>
    <t>Αιγιο</t>
  </si>
  <si>
    <t>1.05.84</t>
  </si>
  <si>
    <t>11.45.64</t>
  </si>
  <si>
    <t>Πανθρακικοί Αγώνες</t>
  </si>
  <si>
    <t>Αθλητής</t>
  </si>
  <si>
    <t>Ημερ. Γεν.</t>
  </si>
  <si>
    <t>Αθανάσιος Παπάζογλου</t>
  </si>
  <si>
    <t xml:space="preserve">Αικατερίνη Ροκάκη </t>
  </si>
  <si>
    <t xml:space="preserve">Αικατερίνη Σαρρή </t>
  </si>
  <si>
    <t xml:space="preserve">Αλεξάνδρα Σουλιώτου </t>
  </si>
  <si>
    <t>Αναστάσιος Μπέκος</t>
  </si>
  <si>
    <t>Ανδρέας Μπέσσας</t>
  </si>
  <si>
    <t xml:space="preserve">Ανδριάννα Φωτακοπούλου </t>
  </si>
  <si>
    <t xml:space="preserve">Αντωνία Μπελαδάκη </t>
  </si>
  <si>
    <t>Αριστείδης Μάρας</t>
  </si>
  <si>
    <t>Βασίλειος Μακαντάνης</t>
  </si>
  <si>
    <t>Γ. Κουνούπης</t>
  </si>
  <si>
    <t>Γεώργιος Αλέξης</t>
  </si>
  <si>
    <t>Γεώργιος Αλλίμονος</t>
  </si>
  <si>
    <t>Γεώργιος Γκουζώνης</t>
  </si>
  <si>
    <t>Γεώργιος Λεπίδας</t>
  </si>
  <si>
    <t>Δημήτριος Κυρίμης</t>
  </si>
  <si>
    <t xml:space="preserve">Διονύσιος Αργυρόπουλος </t>
  </si>
  <si>
    <t>Διονύσιος Κοντονής</t>
  </si>
  <si>
    <t xml:space="preserve">Διονύσιος Κοντονής </t>
  </si>
  <si>
    <t xml:space="preserve">Ελένη Νοικοκυράκη </t>
  </si>
  <si>
    <t xml:space="preserve">Ελευθερία Σκονδριάνη </t>
  </si>
  <si>
    <t xml:space="preserve">Θωμαή Νάσκου </t>
  </si>
  <si>
    <t>Ιορδάνης Καπασούζ</t>
  </si>
  <si>
    <t>Ιωάννης Βλάχος</t>
  </si>
  <si>
    <t xml:space="preserve">Ιωάννης Κυριάκος </t>
  </si>
  <si>
    <t xml:space="preserve">Ιωάννης Λυρατζάκης </t>
  </si>
  <si>
    <t xml:space="preserve">Κοσμάς Καπασακάλης </t>
  </si>
  <si>
    <t xml:space="preserve">Κρυσταλλία Αθανασοπούλου </t>
  </si>
  <si>
    <t xml:space="preserve">Κυριακή Τραμπίδου </t>
  </si>
  <si>
    <t xml:space="preserve">Κωνσταντίνος Δημητρόπουλος </t>
  </si>
  <si>
    <t xml:space="preserve">Κωνσταντίνος Τσιώλης </t>
  </si>
  <si>
    <t xml:space="preserve">Λ. Διακάτος </t>
  </si>
  <si>
    <t xml:space="preserve">Λώρενς ΜακΓκάουαν </t>
  </si>
  <si>
    <t xml:space="preserve">Μαρία Παναγιωτίδου </t>
  </si>
  <si>
    <t xml:space="preserve">Ματένια Πρασάκη </t>
  </si>
  <si>
    <t xml:space="preserve">Νικόλαος Ανδρομιδάς </t>
  </si>
  <si>
    <t xml:space="preserve">Νικόλαος Χατζηνικολάου </t>
  </si>
  <si>
    <t xml:space="preserve">Παναγιώτης Αφρουδάκης </t>
  </si>
  <si>
    <t xml:space="preserve">Παντελής Τσιγγιζής  </t>
  </si>
  <si>
    <t xml:space="preserve">Περικλής Σιάμος </t>
  </si>
  <si>
    <t xml:space="preserve">Πλούμη Αργυρή </t>
  </si>
  <si>
    <t xml:space="preserve">Σ. Καραγιαννόπουλος </t>
  </si>
  <si>
    <t xml:space="preserve">Σπυρίδων Μπακάλης </t>
  </si>
  <si>
    <t xml:space="preserve">Σπυρίδων Σκορδίλης </t>
  </si>
  <si>
    <t xml:space="preserve">Στέργιος Χατζηστέργος </t>
  </si>
  <si>
    <t xml:space="preserve">Συμεών Χατζηαθανασίου </t>
  </si>
  <si>
    <t xml:space="preserve">Φωτεινή Βενέτη </t>
  </si>
  <si>
    <t xml:space="preserve">Χαράλαμπος Τοτκαλίδης </t>
  </si>
  <si>
    <t xml:space="preserve">Χαράλαμπος Χατζηιωακειμήδης  </t>
  </si>
  <si>
    <t xml:space="preserve">Χρήστος Φιωτάκης </t>
  </si>
  <si>
    <t xml:space="preserve">Χρήστος Ψαρογιώργος </t>
  </si>
  <si>
    <t xml:space="preserve">Χριστίνα Μαραγιάννη </t>
  </si>
  <si>
    <t xml:space="preserve">Χρυσάνθη Ριζοπούλου </t>
  </si>
  <si>
    <t xml:space="preserve">Χρυσούλα Δημητροπούλου </t>
  </si>
  <si>
    <t>Αλέξανδρος Κοκκίνης</t>
  </si>
  <si>
    <t/>
  </si>
  <si>
    <t>Age</t>
  </si>
  <si>
    <t>Τάσος Ξένος 2025</t>
  </si>
  <si>
    <t>C</t>
  </si>
  <si>
    <t>Οστράβα</t>
  </si>
  <si>
    <t>Διεθνές Meeting</t>
  </si>
  <si>
    <t>5:30.67</t>
  </si>
  <si>
    <t>12.04.98</t>
  </si>
  <si>
    <t>(-1.7)</t>
  </si>
  <si>
    <t>51.07</t>
  </si>
  <si>
    <t>Κροατία</t>
  </si>
  <si>
    <t>Βαραζντιν Ημερίδα</t>
  </si>
  <si>
    <t>1.73</t>
  </si>
  <si>
    <t>22.76</t>
  </si>
  <si>
    <t>21.29.06</t>
  </si>
  <si>
    <t>2.49.46</t>
  </si>
  <si>
    <t>Μάλτα</t>
  </si>
  <si>
    <t>9.17</t>
  </si>
  <si>
    <t>100μ Εμπόδια</t>
  </si>
  <si>
    <t>24.10</t>
  </si>
  <si>
    <t>(+0.7)</t>
  </si>
  <si>
    <t>22.74</t>
  </si>
  <si>
    <t>(-0.7)</t>
  </si>
  <si>
    <t>Εθνικο Πρωτάθλημα Ρουμανίας</t>
  </si>
  <si>
    <t xml:space="preserve">30.48 </t>
  </si>
  <si>
    <t>(-1.4)</t>
  </si>
  <si>
    <t>2:53.29</t>
  </si>
  <si>
    <t>Καψασκης Σπυρίδων</t>
  </si>
  <si>
    <t>(-0.4)</t>
  </si>
  <si>
    <t>22.26.13</t>
  </si>
  <si>
    <t>31.41.60</t>
  </si>
  <si>
    <t>1.55</t>
  </si>
  <si>
    <t>40.20</t>
  </si>
  <si>
    <t>(+0.50)</t>
  </si>
  <si>
    <t>(-2.2)</t>
  </si>
  <si>
    <t>2.01.38</t>
  </si>
  <si>
    <t>18.30.57</t>
  </si>
  <si>
    <t>25.19</t>
  </si>
  <si>
    <t>52.43</t>
  </si>
  <si>
    <t>19.32</t>
  </si>
  <si>
    <t>10.96</t>
  </si>
  <si>
    <t>Μικτή</t>
  </si>
  <si>
    <t>Βενέτη Φωτεινή</t>
  </si>
  <si>
    <t>Σπιτάλα Οξανα</t>
  </si>
  <si>
    <t>Καστερίδης Ευστάθιος</t>
  </si>
  <si>
    <t>Παριγόρης Κωνσταντίνος</t>
  </si>
  <si>
    <t>Βαινα Αθηνα</t>
  </si>
  <si>
    <t>Σπιταλας Νικόλαος</t>
  </si>
  <si>
    <t>Μουρατιδου Μαρια</t>
  </si>
  <si>
    <t>Δαφτσου Αννα</t>
  </si>
  <si>
    <t>Τσιώλης Κωνσταντίνος</t>
  </si>
  <si>
    <t>Κόκκος Νικολαος</t>
  </si>
  <si>
    <t>Μπερτσίμας Κωνσταντίνος</t>
  </si>
  <si>
    <t>1.36.70</t>
  </si>
  <si>
    <t>1.18.41</t>
  </si>
  <si>
    <t>52.94</t>
  </si>
  <si>
    <t>1:28.19</t>
  </si>
  <si>
    <t>9.13.02</t>
  </si>
  <si>
    <t>11.32.10</t>
  </si>
  <si>
    <t>Βαραζντιν, Κροατία</t>
  </si>
  <si>
    <t>21.23.35</t>
  </si>
  <si>
    <t>22.22.16</t>
  </si>
  <si>
    <t>49.26</t>
  </si>
  <si>
    <t>Μαδειρα, Πορτογαλλία</t>
  </si>
  <si>
    <t>1.06.04</t>
  </si>
  <si>
    <t>2.20.05</t>
  </si>
  <si>
    <t>29.19.63</t>
  </si>
  <si>
    <t>29.31</t>
  </si>
  <si>
    <t>2.10.32</t>
  </si>
  <si>
    <t>22.54</t>
  </si>
  <si>
    <t>28.15</t>
  </si>
  <si>
    <t>(+0.2)</t>
  </si>
  <si>
    <t>49.64</t>
  </si>
  <si>
    <t>18.09</t>
  </si>
  <si>
    <t>17,12(-1,4)/3,13(-0,7)/7,41/1,08/1,33,79/24,32(+1,3)/19,90/1,70/18,41/9,12,30</t>
  </si>
  <si>
    <t>Κριεζής Ακυρο</t>
  </si>
  <si>
    <t>2 Ρεκορ ?</t>
  </si>
  <si>
    <t>Ηλικία Μικρότερη Κατηγορίας</t>
  </si>
  <si>
    <t>24.80</t>
  </si>
  <si>
    <t>4x100</t>
  </si>
  <si>
    <t>4x400</t>
  </si>
  <si>
    <t>2000μ ΦE</t>
  </si>
  <si>
    <t>Ιερωνυμάκη</t>
  </si>
  <si>
    <t>Φιλιππακη</t>
  </si>
  <si>
    <t>Μάγδα Ροϊλλίδου (Τσιτσουλα)</t>
  </si>
  <si>
    <t>1.47.91</t>
  </si>
  <si>
    <t>3:26.08</t>
  </si>
  <si>
    <t>ΔΙΟΡΘΩΣΗ</t>
  </si>
  <si>
    <t>27.27</t>
  </si>
  <si>
    <t>1:27.55</t>
  </si>
  <si>
    <t>13ος Νυχτερινός Ημιαραθώνιος</t>
  </si>
  <si>
    <t>1:42.00</t>
  </si>
  <si>
    <t>2:38.40</t>
  </si>
  <si>
    <t>Παναγιώτης Περλέγκας</t>
  </si>
  <si>
    <t>40.36.52</t>
  </si>
  <si>
    <t>3:26.05</t>
  </si>
  <si>
    <t>Μαλαγα</t>
  </si>
  <si>
    <t>1:34.13</t>
  </si>
  <si>
    <t>Ημιμαραθώνιος Αιγιαλείας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</si>
</sst>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]dd/mm/yyyy;@" x16r2:formatCode16="[$-en-NL,1]dd/mm/yyyy;@"/>
  </numFmts>
  <fonts count="12" x14ac:knownFonts="1">
    <font>
      <sz val="11"/>
      <color theme="1"/>
      <name val="Calibri"/>
      <family val="2"/>
      <charset val="161"/>
      <scheme val="minor"/>
    </font>
    <font>
      <b/>
      <sz val="11"/>
      <color theme="1"/>
      <name val="Calibri"/>
      <family val="2"/>
      <charset val="161"/>
      <scheme val="minor"/>
    </font>
    <font>
      <b/>
      <sz val="12"/>
      <color theme="1"/>
      <name val="Calibri"/>
      <family val="2"/>
      <charset val="161"/>
      <scheme val="minor"/>
    </font>
    <font>
      <b/>
      <sz val="14"/>
      <color theme="1"/>
      <name val="Calibri"/>
      <family val="2"/>
      <charset val="161"/>
      <scheme val="minor"/>
    </font>
    <font>
      <sz val="11"/>
      <name val="Calibri"/>
      <family val="2"/>
      <charset val="161"/>
      <scheme val="minor"/>
    </font>
    <font>
      <b/>
      <sz val="11"/>
      <color rgb="FFFF0000"/>
      <name val="Calibri"/>
      <family val="2"/>
      <charset val="161"/>
      <scheme val="minor"/>
    </font>
    <font>
      <b/>
      <sz val="11"/>
      <name val="Calibri"/>
      <family val="2"/>
      <charset val="161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charset val="161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charset val="161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BE2FB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7FC"/>
        <bgColor indexed="64"/>
      </patternFill>
    </fill>
    <fill>
      <patternFill patternType="solid">
        <fgColor theme="8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9" fillId="0" borderId="0"/>
  </cellStyleXfs>
  <cellXfs count="140">
    <xf numFmtId="0" fontId="0" fillId="0" borderId="0" xfId="0"/>
    <xf numFmtId="0" fontId="4" fillId="0" borderId="0" xfId="0" applyFont="1"/>
    <xf numFmtId="0" fontId="1" fillId="0" borderId="0" xfId="0" applyFont="1" applyAlignment="1">
      <alignment horizontal="center"/>
    </xf>
    <xf numFmtId="0" fontId="1" fillId="0" borderId="0" xfId="0" applyFont="1"/>
    <xf numFmtId="0" fontId="4" fillId="0" borderId="0" xfId="0" applyFont="1" applyAlignment="1">
      <alignment horizontal="left"/>
    </xf>
    <xf numFmtId="0" fontId="4" fillId="2" borderId="0" xfId="0" applyFont="1" applyFill="1"/>
    <xf numFmtId="0" fontId="7" fillId="0" borderId="0" xfId="0" applyFont="1"/>
    <xf numFmtId="0" fontId="8" fillId="0" borderId="0" xfId="0" applyFont="1"/>
    <xf numFmtId="0" fontId="1" fillId="0" borderId="1" xfId="0" applyFont="1" applyBorder="1" applyAlignment="1">
      <alignment horizontal="center"/>
    </xf>
    <xf numFmtId="0" fontId="9" fillId="0" borderId="0" xfId="0" applyFont="1"/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14" fontId="8" fillId="0" borderId="0" xfId="0" applyNumberFormat="1" applyFont="1" applyAlignment="1">
      <alignment horizontal="center"/>
    </xf>
    <xf numFmtId="14" fontId="4" fillId="0" borderId="0" xfId="0" applyNumberFormat="1" applyFont="1" applyAlignment="1">
      <alignment horizontal="center"/>
    </xf>
    <xf numFmtId="0" fontId="9" fillId="4" borderId="0" xfId="0" applyFont="1" applyFill="1"/>
    <xf numFmtId="0" fontId="0" fillId="4" borderId="0" xfId="0" applyFill="1"/>
    <xf numFmtId="0" fontId="0" fillId="4" borderId="0" xfId="0" applyFill="1" applyAlignment="1">
      <alignment horizontal="center" vertical="center"/>
    </xf>
    <xf numFmtId="14" fontId="4" fillId="4" borderId="0" xfId="0" applyNumberFormat="1" applyFont="1" applyFill="1" applyAlignment="1">
      <alignment horizontal="center" vertical="center"/>
    </xf>
    <xf numFmtId="0" fontId="4" fillId="4" borderId="0" xfId="0" applyFont="1" applyFill="1"/>
    <xf numFmtId="14" fontId="0" fillId="4" borderId="0" xfId="0" applyNumberFormat="1" applyFill="1" applyAlignment="1">
      <alignment horizontal="center" vertical="center"/>
    </xf>
    <xf numFmtId="0" fontId="0" fillId="5" borderId="0" xfId="0" applyFill="1"/>
    <xf numFmtId="0" fontId="4" fillId="0" borderId="0" xfId="0" applyFont="1" applyAlignment="1">
      <alignment horizontal="center"/>
    </xf>
    <xf numFmtId="0" fontId="2" fillId="0" borderId="1" xfId="0" applyFont="1" applyBorder="1"/>
    <xf numFmtId="0" fontId="7" fillId="0" borderId="1" xfId="0" applyFont="1" applyBorder="1"/>
    <xf numFmtId="0" fontId="1" fillId="0" borderId="1" xfId="0" applyFont="1" applyBorder="1" applyAlignment="1">
      <alignment horizontal="center" vertical="center"/>
    </xf>
    <xf numFmtId="0" fontId="0" fillId="6" borderId="0" xfId="0" applyFill="1"/>
    <xf numFmtId="164" fontId="1" fillId="0" borderId="0" xfId="0" applyNumberFormat="1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9" fillId="7" borderId="0" xfId="0" applyFont="1" applyFill="1"/>
    <xf numFmtId="0" fontId="0" fillId="7" borderId="0" xfId="0" applyFill="1"/>
    <xf numFmtId="0" fontId="4" fillId="7" borderId="0" xfId="0" applyFont="1" applyFill="1"/>
    <xf numFmtId="14" fontId="4" fillId="7" borderId="0" xfId="0" applyNumberFormat="1" applyFont="1" applyFill="1" applyAlignment="1">
      <alignment horizontal="center"/>
    </xf>
    <xf numFmtId="14" fontId="0" fillId="7" borderId="0" xfId="0" applyNumberFormat="1" applyFill="1" applyAlignment="1">
      <alignment horizontal="center"/>
    </xf>
    <xf numFmtId="14" fontId="4" fillId="4" borderId="0" xfId="0" applyNumberFormat="1" applyFont="1" applyFill="1" applyAlignment="1">
      <alignment horizontal="center"/>
    </xf>
    <xf numFmtId="0" fontId="4" fillId="4" borderId="0" xfId="0" applyFont="1" applyFill="1" applyAlignment="1">
      <alignment horizontal="center"/>
    </xf>
    <xf numFmtId="0" fontId="9" fillId="6" borderId="0" xfId="0" applyFont="1" applyFill="1"/>
    <xf numFmtId="0" fontId="4" fillId="6" borderId="0" xfId="0" applyFont="1" applyFill="1"/>
    <xf numFmtId="14" fontId="4" fillId="6" borderId="0" xfId="0" applyNumberFormat="1" applyFont="1" applyFill="1" applyAlignment="1">
      <alignment horizontal="center"/>
    </xf>
    <xf numFmtId="0" fontId="9" fillId="8" borderId="0" xfId="0" applyFont="1" applyFill="1"/>
    <xf numFmtId="0" fontId="0" fillId="8" borderId="0" xfId="0" applyFill="1"/>
    <xf numFmtId="14" fontId="0" fillId="8" borderId="0" xfId="0" applyNumberFormat="1" applyFill="1" applyAlignment="1">
      <alignment horizontal="center" vertical="center"/>
    </xf>
    <xf numFmtId="0" fontId="0" fillId="8" borderId="0" xfId="0" applyFill="1" applyAlignment="1">
      <alignment horizontal="center"/>
    </xf>
    <xf numFmtId="0" fontId="1" fillId="0" borderId="2" xfId="0" applyFont="1" applyBorder="1" applyAlignment="1">
      <alignment horizontal="center"/>
    </xf>
    <xf numFmtId="0" fontId="2" fillId="8" borderId="2" xfId="0" applyFont="1" applyFill="1" applyBorder="1"/>
    <xf numFmtId="0" fontId="7" fillId="8" borderId="2" xfId="0" applyFont="1" applyFill="1" applyBorder="1" applyAlignment="1">
      <alignment horizontal="center"/>
    </xf>
    <xf numFmtId="0" fontId="1" fillId="8" borderId="2" xfId="0" applyFont="1" applyFill="1" applyBorder="1" applyAlignment="1">
      <alignment horizontal="center"/>
    </xf>
    <xf numFmtId="0" fontId="1" fillId="8" borderId="2" xfId="0" applyFont="1" applyFill="1" applyBorder="1" applyAlignment="1">
      <alignment horizontal="center" vertical="center"/>
    </xf>
    <xf numFmtId="0" fontId="7" fillId="8" borderId="2" xfId="0" applyFont="1" applyFill="1" applyBorder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1" fillId="8" borderId="2" xfId="0" applyFont="1" applyFill="1" applyBorder="1" applyAlignment="1">
      <alignment horizontal="right"/>
    </xf>
    <xf numFmtId="0" fontId="0" fillId="0" borderId="0" xfId="0" applyAlignment="1">
      <alignment horizontal="right"/>
    </xf>
    <xf numFmtId="0" fontId="0" fillId="8" borderId="0" xfId="0" applyFill="1" applyAlignment="1">
      <alignment horizontal="right"/>
    </xf>
    <xf numFmtId="14" fontId="4" fillId="0" borderId="0" xfId="0" applyNumberFormat="1" applyFont="1" applyAlignment="1">
      <alignment horizontal="center" vertical="center"/>
    </xf>
    <xf numFmtId="3" fontId="0" fillId="0" borderId="0" xfId="0" applyNumberFormat="1" applyAlignment="1">
      <alignment horizontal="right"/>
    </xf>
    <xf numFmtId="3" fontId="0" fillId="0" borderId="0" xfId="0" applyNumberFormat="1"/>
    <xf numFmtId="0" fontId="4" fillId="0" borderId="0" xfId="0" applyFont="1" applyAlignment="1">
      <alignment horizontal="right"/>
    </xf>
    <xf numFmtId="0" fontId="4" fillId="0" borderId="0" xfId="0" applyFont="1" applyAlignment="1">
      <alignment horizontal="center" vertical="center"/>
    </xf>
    <xf numFmtId="14" fontId="4" fillId="0" borderId="0" xfId="0" applyNumberFormat="1" applyFont="1" applyAlignment="1">
      <alignment horizontal="left" vertical="center"/>
    </xf>
    <xf numFmtId="0" fontId="5" fillId="0" borderId="0" xfId="0" applyFont="1"/>
    <xf numFmtId="0" fontId="0" fillId="0" borderId="0" xfId="0" applyAlignment="1">
      <alignment horizontal="left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/>
    </xf>
    <xf numFmtId="0" fontId="1" fillId="0" borderId="0" xfId="0" applyFont="1" applyAlignment="1">
      <alignment horizontal="center" vertical="center"/>
    </xf>
    <xf numFmtId="3" fontId="0" fillId="0" borderId="0" xfId="0" applyNumberFormat="1" applyAlignment="1">
      <alignment horizontal="left"/>
    </xf>
    <xf numFmtId="0" fontId="4" fillId="0" borderId="0" xfId="0" quotePrefix="1" applyFont="1"/>
    <xf numFmtId="3" fontId="4" fillId="0" borderId="0" xfId="0" applyNumberFormat="1" applyFont="1" applyAlignment="1">
      <alignment horizontal="right"/>
    </xf>
    <xf numFmtId="3" fontId="4" fillId="0" borderId="0" xfId="0" applyNumberFormat="1" applyFont="1"/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 wrapText="1"/>
    </xf>
    <xf numFmtId="0" fontId="6" fillId="0" borderId="0" xfId="0" applyFont="1" applyAlignment="1">
      <alignment horizontal="right"/>
    </xf>
    <xf numFmtId="0" fontId="4" fillId="0" borderId="0" xfId="0" applyFont="1" applyAlignment="1">
      <alignment horizontal="left" wrapText="1"/>
    </xf>
    <xf numFmtId="17" fontId="4" fillId="0" borderId="0" xfId="0" applyNumberFormat="1" applyFont="1" applyAlignment="1">
      <alignment horizontal="right"/>
    </xf>
    <xf numFmtId="17" fontId="4" fillId="0" borderId="0" xfId="0" applyNumberFormat="1" applyFont="1"/>
    <xf numFmtId="3" fontId="4" fillId="0" borderId="0" xfId="0" applyNumberFormat="1" applyFont="1" applyAlignment="1">
      <alignment horizontal="left"/>
    </xf>
    <xf numFmtId="0" fontId="10" fillId="0" borderId="0" xfId="0" applyFont="1" applyAlignment="1">
      <alignment horizontal="center"/>
    </xf>
    <xf numFmtId="0" fontId="9" fillId="0" borderId="0" xfId="0" applyFont="1" applyAlignment="1">
      <alignment horizontal="center" vertical="center"/>
    </xf>
    <xf numFmtId="3" fontId="10" fillId="0" borderId="0" xfId="0" applyNumberFormat="1" applyFont="1" applyAlignment="1">
      <alignment horizontal="right"/>
    </xf>
    <xf numFmtId="3" fontId="10" fillId="0" borderId="0" xfId="0" applyNumberFormat="1" applyFont="1" applyAlignment="1">
      <alignment horizontal="left"/>
    </xf>
    <xf numFmtId="0" fontId="10" fillId="0" borderId="0" xfId="0" applyFont="1"/>
    <xf numFmtId="14" fontId="10" fillId="0" borderId="0" xfId="0" applyNumberFormat="1" applyFont="1" applyAlignment="1">
      <alignment horizontal="center"/>
    </xf>
    <xf numFmtId="0" fontId="10" fillId="0" borderId="0" xfId="0" applyFont="1" applyAlignment="1">
      <alignment horizontal="right"/>
    </xf>
    <xf numFmtId="0" fontId="9" fillId="3" borderId="0" xfId="0" applyFont="1" applyFill="1"/>
    <xf numFmtId="0" fontId="0" fillId="3" borderId="0" xfId="0" applyFill="1" applyAlignment="1">
      <alignment horizontal="center" vertical="center"/>
    </xf>
    <xf numFmtId="0" fontId="0" fillId="3" borderId="0" xfId="0" applyFill="1" applyAlignment="1">
      <alignment horizontal="center"/>
    </xf>
    <xf numFmtId="3" fontId="0" fillId="3" borderId="0" xfId="0" applyNumberFormat="1" applyFill="1" applyAlignment="1">
      <alignment horizontal="right"/>
    </xf>
    <xf numFmtId="0" fontId="0" fillId="3" borderId="0" xfId="0" applyFill="1"/>
    <xf numFmtId="14" fontId="0" fillId="3" borderId="0" xfId="0" applyNumberForma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3" fontId="0" fillId="0" borderId="0" xfId="0" applyNumberFormat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0" fillId="0" borderId="0" xfId="0" quotePrefix="1" applyAlignment="1">
      <alignment horizontal="center" vertical="center"/>
    </xf>
    <xf numFmtId="14" fontId="9" fillId="0" borderId="0" xfId="0" applyNumberFormat="1" applyFont="1" applyAlignment="1">
      <alignment horizontal="center" vertical="center" wrapText="1"/>
    </xf>
    <xf numFmtId="14" fontId="6" fillId="0" borderId="0" xfId="0" applyNumberFormat="1" applyFont="1" applyAlignment="1">
      <alignment horizontal="center" wrapText="1"/>
    </xf>
    <xf numFmtId="14" fontId="0" fillId="0" borderId="0" xfId="0" applyNumberFormat="1"/>
    <xf numFmtId="1" fontId="0" fillId="0" borderId="0" xfId="0" applyNumberFormat="1" applyAlignment="1">
      <alignment horizontal="center" vertical="center"/>
    </xf>
    <xf numFmtId="0" fontId="7" fillId="4" borderId="0" xfId="0" applyFont="1" applyFill="1"/>
    <xf numFmtId="0" fontId="7" fillId="4" borderId="0" xfId="0" applyFont="1" applyFill="1" applyAlignment="1">
      <alignment horizontal="center"/>
    </xf>
    <xf numFmtId="0" fontId="7" fillId="4" borderId="0" xfId="0" applyFont="1" applyFill="1" applyAlignment="1">
      <alignment horizontal="center" vertical="center"/>
    </xf>
    <xf numFmtId="0" fontId="7" fillId="4" borderId="0" xfId="0" applyFont="1" applyFill="1" applyAlignment="1">
      <alignment horizontal="right"/>
    </xf>
    <xf numFmtId="14" fontId="7" fillId="4" borderId="0" xfId="0" applyNumberFormat="1" applyFont="1" applyFill="1" applyAlignment="1">
      <alignment horizontal="center" vertical="center"/>
    </xf>
    <xf numFmtId="0" fontId="0" fillId="4" borderId="0" xfId="0" applyFill="1" applyAlignment="1">
      <alignment horizontal="center"/>
    </xf>
    <xf numFmtId="0" fontId="0" fillId="4" borderId="0" xfId="0" applyFill="1" applyAlignment="1">
      <alignment horizontal="right"/>
    </xf>
    <xf numFmtId="2" fontId="0" fillId="4" borderId="0" xfId="0" applyNumberFormat="1" applyFill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3" xfId="0" applyBorder="1"/>
    <xf numFmtId="0" fontId="9" fillId="0" borderId="4" xfId="0" applyFont="1" applyBorder="1"/>
    <xf numFmtId="0" fontId="4" fillId="0" borderId="3" xfId="0" applyFont="1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4" fillId="0" borderId="3" xfId="0" applyFont="1" applyBorder="1" applyAlignment="1">
      <alignment horizontal="right"/>
    </xf>
    <xf numFmtId="0" fontId="4" fillId="0" borderId="3" xfId="0" applyFont="1" applyBorder="1"/>
    <xf numFmtId="0" fontId="4" fillId="0" borderId="3" xfId="0" applyFont="1" applyBorder="1" applyAlignment="1">
      <alignment horizontal="center" vertical="center"/>
    </xf>
    <xf numFmtId="14" fontId="4" fillId="0" borderId="3" xfId="0" applyNumberFormat="1" applyFont="1" applyBorder="1" applyAlignment="1">
      <alignment horizontal="center"/>
    </xf>
    <xf numFmtId="2" fontId="0" fillId="0" borderId="5" xfId="0" applyNumberFormat="1" applyBorder="1" applyAlignment="1">
      <alignment horizontal="center"/>
    </xf>
    <xf numFmtId="0" fontId="9" fillId="0" borderId="6" xfId="0" applyFont="1" applyBorder="1"/>
    <xf numFmtId="2" fontId="0" fillId="0" borderId="7" xfId="0" applyNumberFormat="1" applyBorder="1" applyAlignment="1">
      <alignment horizontal="center"/>
    </xf>
    <xf numFmtId="0" fontId="9" fillId="0" borderId="8" xfId="0" applyFont="1" applyBorder="1"/>
    <xf numFmtId="0" fontId="0" fillId="0" borderId="2" xfId="0" applyBorder="1"/>
    <xf numFmtId="0" fontId="4" fillId="0" borderId="2" xfId="0" applyFont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4" fillId="0" borderId="2" xfId="0" applyFont="1" applyBorder="1" applyAlignment="1">
      <alignment horizontal="right"/>
    </xf>
    <xf numFmtId="0" fontId="4" fillId="0" borderId="2" xfId="0" applyFont="1" applyBorder="1"/>
    <xf numFmtId="0" fontId="4" fillId="0" borderId="2" xfId="0" applyFont="1" applyBorder="1" applyAlignment="1">
      <alignment horizontal="center" vertical="center"/>
    </xf>
    <xf numFmtId="2" fontId="0" fillId="0" borderId="9" xfId="0" applyNumberFormat="1" applyBorder="1" applyAlignment="1">
      <alignment horizontal="center"/>
    </xf>
    <xf numFmtId="14" fontId="4" fillId="0" borderId="2" xfId="0" applyNumberFormat="1" applyFont="1" applyBorder="1" applyAlignment="1">
      <alignment horizontal="center"/>
    </xf>
    <xf numFmtId="0" fontId="9" fillId="2" borderId="0" xfId="0" applyFont="1" applyFill="1"/>
    <xf numFmtId="0" fontId="0" fillId="2" borderId="0" xfId="0" applyFill="1" applyAlignment="1">
      <alignment horizontal="center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right"/>
    </xf>
    <xf numFmtId="0" fontId="0" fillId="2" borderId="0" xfId="0" applyFill="1"/>
    <xf numFmtId="14" fontId="0" fillId="2" borderId="0" xfId="0" applyNumberFormat="1" applyFill="1" applyAlignment="1">
      <alignment horizontal="center" vertical="center"/>
    </xf>
    <xf numFmtId="2" fontId="0" fillId="2" borderId="0" xfId="0" applyNumberForma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4" fillId="2" borderId="0" xfId="0" applyFont="1" applyFill="1" applyAlignment="1">
      <alignment horizontal="right"/>
    </xf>
    <xf numFmtId="0" fontId="4" fillId="2" borderId="0" xfId="0" applyFont="1" applyFill="1" applyAlignment="1">
      <alignment horizontal="center" vertical="center"/>
    </xf>
    <xf numFmtId="14" fontId="4" fillId="2" borderId="0" xfId="0" applyNumberFormat="1" applyFont="1" applyFill="1" applyAlignment="1">
      <alignment horizontal="center"/>
    </xf>
    <xf numFmtId="0" fontId="3" fillId="0" borderId="0" xfId="0" applyFont="1" applyAlignment="1">
      <alignment horizontal="center"/>
    </xf>
  </cellXfs>
  <cellStyles count="2">
    <cellStyle name="Normal" xfId="0" builtinId="0"/>
    <cellStyle name="Normal 2" xfId="1" xr:uid="{700DBC44-5E39-914C-839D-5E300D22E728}"/>
  </cellStyles>
  <dxfs count="19"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161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161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161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161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161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161"/>
        <scheme val="minor"/>
      </font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161"/>
        <scheme val="minor"/>
      </font>
      <numFmt numFmtId="3" formatCode="#,##0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161"/>
        <scheme val="minor"/>
      </font>
      <numFmt numFmtId="3" formatCode="#,##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161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border outline="0">
        <top style="thin">
          <color indexed="64"/>
        </top>
      </border>
    </dxf>
    <dxf>
      <fill>
        <patternFill patternType="none">
          <fgColor indexed="64"/>
          <bgColor auto="1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61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9" defaultPivotStyle="PivotStyleLight16"/>
  <colors>
    <mruColors>
      <color rgb="FFFBE2FB"/>
      <color rgb="FFFFC7FC"/>
      <color rgb="FFFFCCF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E016BC8-4CED-E14C-B237-A9DC5DFE420B}" name="Table1" displayName="Table1" ref="A1:O799" totalsRowShown="0" headerRowDxfId="18" dataDxfId="16" headerRowBorderDxfId="17" tableBorderDxfId="15">
  <autoFilter ref="A1:O799" xr:uid="{00000000-0001-0000-0000-000000000000}">
    <filterColumn colId="0">
      <filters>
        <filter val="Γυναίκες"/>
      </filters>
    </filterColumn>
    <filterColumn colId="1">
      <filters>
        <filter val="800μ"/>
      </filters>
    </filterColumn>
  </autoFilter>
  <sortState xmlns:xlrd2="http://schemas.microsoft.com/office/spreadsheetml/2017/richdata2" ref="A2:O799">
    <sortCondition ref="B2:B799"/>
  </sortState>
  <tableColumns count="15">
    <tableColumn id="1" xr3:uid="{62053594-04F1-474E-9285-020BF19B3DAC}" name="Α/Γ" dataDxfId="14"/>
    <tableColumn id="2" xr3:uid="{268B0F06-E9CB-0C40-8EE9-E41645F82B75}" name="Αγώνισμα" dataDxfId="13"/>
    <tableColumn id="3" xr3:uid="{36DD3FAD-27BA-8F48-BFF0-B9273F82B522}" name="Κατηγορία" dataDxfId="12"/>
    <tableColumn id="4" xr3:uid="{BE07B11B-973D-284A-946A-60AB26B7B4D7}" name="Τεχν" dataDxfId="11"/>
    <tableColumn id="5" xr3:uid="{1A88165A-D715-6C4A-9952-5918C5D8B4C1}" name="Πρ" dataDxfId="10"/>
    <tableColumn id="6" xr3:uid="{2B42BF04-1EF7-284F-B88F-E80D84255E37}" name="Επίδοση" dataDxfId="9"/>
    <tableColumn id="7" xr3:uid="{476188F3-3A56-3E4D-8997-CCEEA49C4462}" name="Αναλυση Συνθέτων" dataDxfId="8"/>
    <tableColumn id="8" xr3:uid="{E9C48A64-3636-BE44-BD02-0B09D5F4D198}" name="Άνεμος" dataDxfId="7"/>
    <tableColumn id="9" xr3:uid="{02DBC738-921A-784E-B452-B6089FC777F7}" name="Ονοματεπώνυμο " dataDxfId="6"/>
    <tableColumn id="10" xr3:uid="{41F2BF2C-475B-F94D-8BA4-E5224A005C5F}" name="Ημ. Γέννησης" dataDxfId="5"/>
    <tableColumn id="11" xr3:uid="{3B81631A-E243-3F4F-AE9A-6EB05639F02F}" name="Ημερομηνία " dataDxfId="4"/>
    <tableColumn id="12" xr3:uid="{005C67B2-367F-0048-AC67-9428116B3DEC}" name="Τόπος" dataDxfId="3"/>
    <tableColumn id="13" xr3:uid="{9CD6DF2C-03D4-994A-9711-C92D3ED8ECBD}" name="Διοργάνωση " dataDxfId="2"/>
    <tableColumn id="14" xr3:uid="{8580E52C-EC14-684E-BF65-A21AABF42923}" name="Check-Age" dataDxfId="1"/>
    <tableColumn id="15" xr3:uid="{55B915A5-2BF9-5B42-96CF-C92DAFCCF314}" name="Σημειώσεις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799"/>
  <sheetViews>
    <sheetView tabSelected="1" zoomScale="130" zoomScaleNormal="130" workbookViewId="0">
      <pane ySplit="1" topLeftCell="A2" activePane="bottomLeft" state="frozen"/>
      <selection activeCell="E1" sqref="E1"/>
      <selection pane="bottomLeft" activeCell="K408" sqref="K408"/>
    </sheetView>
  </sheetViews>
  <sheetFormatPr baseColWidth="10" defaultColWidth="0" defaultRowHeight="18" customHeight="1" x14ac:dyDescent="0.2"/>
  <cols>
    <col min="1" max="1" width="9.1640625" customWidth="1"/>
    <col min="2" max="2" width="25" customWidth="1"/>
    <col min="3" max="3" width="5.5" style="12" customWidth="1"/>
    <col min="4" max="4" width="6.5" customWidth="1"/>
    <col min="5" max="5" width="3" style="11" customWidth="1"/>
    <col min="6" max="6" width="9.1640625" style="52" customWidth="1"/>
    <col min="7" max="7" width="40.5" customWidth="1"/>
    <col min="8" max="8" width="5.33203125" style="11" customWidth="1"/>
    <col min="9" max="9" width="36.1640625" bestFit="1" customWidth="1"/>
    <col min="10" max="10" width="14.6640625" style="11" customWidth="1"/>
    <col min="11" max="11" width="12.5" style="11" customWidth="1"/>
    <col min="12" max="12" width="20.6640625" customWidth="1"/>
    <col min="13" max="13" width="25.1640625" customWidth="1"/>
    <col min="14" max="14" width="16.1640625" style="12" customWidth="1"/>
    <col min="15" max="15" width="29.1640625" customWidth="1"/>
    <col min="16" max="16384" width="9.1640625" hidden="1"/>
  </cols>
  <sheetData>
    <row r="1" spans="1:15" ht="18" customHeight="1" x14ac:dyDescent="0.2">
      <c r="A1" s="45" t="s">
        <v>1184</v>
      </c>
      <c r="B1" s="45" t="s">
        <v>1182</v>
      </c>
      <c r="C1" s="46" t="s">
        <v>1183</v>
      </c>
      <c r="D1" s="45" t="s">
        <v>1269</v>
      </c>
      <c r="E1" s="49" t="s">
        <v>1185</v>
      </c>
      <c r="F1" s="51" t="s">
        <v>1</v>
      </c>
      <c r="G1" s="44" t="s">
        <v>1191</v>
      </c>
      <c r="H1" s="48" t="s">
        <v>20</v>
      </c>
      <c r="I1" s="47" t="s">
        <v>2</v>
      </c>
      <c r="J1" s="48" t="s">
        <v>3</v>
      </c>
      <c r="K1" s="48" t="s">
        <v>4</v>
      </c>
      <c r="L1" s="47" t="s">
        <v>8</v>
      </c>
      <c r="M1" s="47" t="s">
        <v>7</v>
      </c>
      <c r="N1" s="47" t="s">
        <v>1212</v>
      </c>
      <c r="O1" s="47" t="s">
        <v>1213</v>
      </c>
    </row>
    <row r="2" spans="1:15" ht="18" hidden="1" customHeight="1" x14ac:dyDescent="0.2">
      <c r="A2" s="9" t="s">
        <v>1155</v>
      </c>
      <c r="B2" s="9" t="s">
        <v>1163</v>
      </c>
      <c r="C2" s="12" t="s">
        <v>1256</v>
      </c>
      <c r="D2" s="9"/>
      <c r="E2" s="11" t="s">
        <v>1186</v>
      </c>
      <c r="F2" s="52" t="s">
        <v>171</v>
      </c>
      <c r="I2" t="s">
        <v>142</v>
      </c>
      <c r="J2" s="10">
        <v>22859</v>
      </c>
      <c r="K2" s="10">
        <v>35993</v>
      </c>
      <c r="L2" t="s">
        <v>154</v>
      </c>
      <c r="M2" t="s">
        <v>155</v>
      </c>
      <c r="N2" s="107" t="str">
        <f>IF(_xlfn.NUMBERVALUE(DATEDIF(J2,K2,"Y"))-Table1[[#This Row],[Κατηγορία]]&lt;0,"* Check Age *","")</f>
        <v/>
      </c>
    </row>
    <row r="3" spans="1:15" ht="18" hidden="1" customHeight="1" x14ac:dyDescent="0.2">
      <c r="A3" s="9" t="s">
        <v>1155</v>
      </c>
      <c r="B3" s="9" t="s">
        <v>1163</v>
      </c>
      <c r="C3" s="12" t="s">
        <v>1257</v>
      </c>
      <c r="D3" s="9"/>
      <c r="E3" s="11" t="s">
        <v>1186</v>
      </c>
      <c r="F3" s="52" t="s">
        <v>938</v>
      </c>
      <c r="I3" t="s">
        <v>939</v>
      </c>
      <c r="J3" s="10">
        <v>30130</v>
      </c>
      <c r="K3" s="10">
        <v>45038</v>
      </c>
      <c r="L3" t="s">
        <v>940</v>
      </c>
      <c r="M3" t="s">
        <v>155</v>
      </c>
      <c r="N3" s="107" t="str">
        <f>IF(_xlfn.NUMBERVALUE(DATEDIF(J3,K3,"Y"))-Table1[[#This Row],[Κατηγορία]]&lt;0,"* Check Age *","")</f>
        <v/>
      </c>
    </row>
    <row r="4" spans="1:15" ht="18" hidden="1" customHeight="1" x14ac:dyDescent="0.2">
      <c r="A4" s="9" t="s">
        <v>1155</v>
      </c>
      <c r="B4" s="9" t="s">
        <v>1163</v>
      </c>
      <c r="C4" s="12" t="s">
        <v>1258</v>
      </c>
      <c r="D4" s="9"/>
      <c r="E4" s="11" t="s">
        <v>1186</v>
      </c>
      <c r="F4" s="55" t="s">
        <v>174</v>
      </c>
      <c r="G4" s="56"/>
      <c r="H4" s="91"/>
      <c r="I4" t="s">
        <v>144</v>
      </c>
      <c r="J4" s="11">
        <v>1969</v>
      </c>
      <c r="K4" s="11">
        <v>2014</v>
      </c>
      <c r="L4" t="s">
        <v>173</v>
      </c>
      <c r="M4" t="s">
        <v>155</v>
      </c>
      <c r="N4" s="107"/>
    </row>
    <row r="5" spans="1:15" ht="18" hidden="1" customHeight="1" x14ac:dyDescent="0.2">
      <c r="A5" s="9" t="s">
        <v>1155</v>
      </c>
      <c r="B5" s="9" t="s">
        <v>1163</v>
      </c>
      <c r="C5" s="12" t="s">
        <v>1259</v>
      </c>
      <c r="D5" s="9"/>
      <c r="E5" s="11" t="s">
        <v>1186</v>
      </c>
      <c r="F5" s="52" t="s">
        <v>304</v>
      </c>
      <c r="I5" t="s">
        <v>1066</v>
      </c>
      <c r="J5" s="10">
        <v>24440</v>
      </c>
      <c r="K5" s="10">
        <v>43813</v>
      </c>
      <c r="L5" t="s">
        <v>175</v>
      </c>
      <c r="M5" t="s">
        <v>176</v>
      </c>
      <c r="N5" s="107" t="str">
        <f>IF(_xlfn.NUMBERVALUE(DATEDIF(J5,K5,"Y"))-Table1[[#This Row],[Κατηγορία]]&lt;0,"* Check Age *","")</f>
        <v/>
      </c>
    </row>
    <row r="6" spans="1:15" ht="18" hidden="1" customHeight="1" x14ac:dyDescent="0.2">
      <c r="A6" s="9" t="s">
        <v>1155</v>
      </c>
      <c r="B6" s="9" t="s">
        <v>1163</v>
      </c>
      <c r="C6" s="12" t="s">
        <v>1260</v>
      </c>
      <c r="D6" s="9"/>
      <c r="E6" s="11" t="s">
        <v>1186</v>
      </c>
      <c r="F6" s="52" t="s">
        <v>873</v>
      </c>
      <c r="I6" t="s">
        <v>1066</v>
      </c>
      <c r="J6" s="10">
        <v>24440</v>
      </c>
      <c r="K6" s="10">
        <v>44542</v>
      </c>
      <c r="L6" t="s">
        <v>800</v>
      </c>
      <c r="M6" t="s">
        <v>176</v>
      </c>
      <c r="N6" s="107" t="str">
        <f>IF(_xlfn.NUMBERVALUE(DATEDIF(J6,K6,"Y"))-Table1[[#This Row],[Κατηγορία]]&lt;0,"* Check Age *","")</f>
        <v/>
      </c>
    </row>
    <row r="7" spans="1:15" ht="18" hidden="1" customHeight="1" x14ac:dyDescent="0.2">
      <c r="A7" s="9" t="s">
        <v>1155</v>
      </c>
      <c r="B7" s="9" t="s">
        <v>1163</v>
      </c>
      <c r="C7" s="12" t="s">
        <v>1261</v>
      </c>
      <c r="D7" s="9"/>
      <c r="E7" s="11" t="s">
        <v>1186</v>
      </c>
      <c r="F7" s="52" t="s">
        <v>874</v>
      </c>
      <c r="I7" t="s">
        <v>165</v>
      </c>
      <c r="J7" s="10">
        <v>20696</v>
      </c>
      <c r="K7" s="10">
        <v>42680</v>
      </c>
      <c r="L7" t="s">
        <v>27</v>
      </c>
      <c r="M7" t="s">
        <v>177</v>
      </c>
      <c r="N7" s="107" t="str">
        <f>IF(_xlfn.NUMBERVALUE(DATEDIF(J7,K7,"Y"))-Table1[[#This Row],[Κατηγορία]]&lt;0,"* Check Age *","")</f>
        <v/>
      </c>
    </row>
    <row r="8" spans="1:15" ht="18" hidden="1" customHeight="1" x14ac:dyDescent="0.2">
      <c r="A8" s="9" t="s">
        <v>1155</v>
      </c>
      <c r="B8" s="9" t="s">
        <v>1163</v>
      </c>
      <c r="C8" s="12" t="s">
        <v>1262</v>
      </c>
      <c r="D8" s="9"/>
      <c r="E8" s="11" t="s">
        <v>1186</v>
      </c>
      <c r="F8" s="52" t="s">
        <v>178</v>
      </c>
      <c r="I8" t="s">
        <v>140</v>
      </c>
      <c r="J8" s="10">
        <v>11632</v>
      </c>
      <c r="K8" s="11">
        <v>1996</v>
      </c>
      <c r="L8" t="s">
        <v>44</v>
      </c>
      <c r="M8" t="s">
        <v>40</v>
      </c>
      <c r="N8" s="107"/>
    </row>
    <row r="9" spans="1:15" ht="18" hidden="1" customHeight="1" x14ac:dyDescent="0.2">
      <c r="A9" s="9" t="s">
        <v>1155</v>
      </c>
      <c r="B9" s="9" t="s">
        <v>1163</v>
      </c>
      <c r="C9" s="12" t="s">
        <v>1263</v>
      </c>
      <c r="D9" s="9"/>
      <c r="E9" s="11" t="s">
        <v>1186</v>
      </c>
      <c r="F9" s="52" t="s">
        <v>1198</v>
      </c>
      <c r="I9" t="s">
        <v>162</v>
      </c>
      <c r="J9" s="10">
        <v>20038</v>
      </c>
      <c r="K9" s="10">
        <v>45752</v>
      </c>
      <c r="L9" t="s">
        <v>173</v>
      </c>
      <c r="M9" s="1" t="s">
        <v>300</v>
      </c>
      <c r="N9" s="107" t="str">
        <f>IF(_xlfn.NUMBERVALUE(DATEDIF(J9,K9,"Y"))-Table1[[#This Row],[Κατηγορία]]&lt;0,"* Check Age *","")</f>
        <v/>
      </c>
    </row>
    <row r="10" spans="1:15" ht="18" hidden="1" customHeight="1" x14ac:dyDescent="0.2">
      <c r="A10" s="9" t="s">
        <v>1155</v>
      </c>
      <c r="B10" s="9" t="s">
        <v>1163</v>
      </c>
      <c r="C10" s="12" t="s">
        <v>1264</v>
      </c>
      <c r="D10" s="9"/>
      <c r="E10" s="11" t="s">
        <v>1186</v>
      </c>
      <c r="F10" s="52" t="s">
        <v>181</v>
      </c>
      <c r="I10" t="s">
        <v>179</v>
      </c>
      <c r="J10" s="11">
        <v>1911</v>
      </c>
      <c r="K10" s="11">
        <v>1987</v>
      </c>
      <c r="L10" t="s">
        <v>44</v>
      </c>
      <c r="M10" t="s">
        <v>40</v>
      </c>
      <c r="N10" s="107"/>
    </row>
    <row r="11" spans="1:15" ht="18" hidden="1" customHeight="1" x14ac:dyDescent="0.2">
      <c r="A11" s="9" t="s">
        <v>1155</v>
      </c>
      <c r="B11" s="9" t="s">
        <v>1163</v>
      </c>
      <c r="C11" s="12" t="s">
        <v>1265</v>
      </c>
      <c r="D11" s="9"/>
      <c r="E11" s="11" t="s">
        <v>1186</v>
      </c>
      <c r="F11" s="52" t="s">
        <v>182</v>
      </c>
      <c r="I11" t="s">
        <v>179</v>
      </c>
      <c r="J11" s="11">
        <v>1911</v>
      </c>
      <c r="K11" s="11">
        <v>1991</v>
      </c>
      <c r="L11" t="s">
        <v>44</v>
      </c>
      <c r="M11" t="s">
        <v>40</v>
      </c>
      <c r="N11" s="107"/>
    </row>
    <row r="12" spans="1:15" ht="18" hidden="1" customHeight="1" x14ac:dyDescent="0.2">
      <c r="A12" s="9" t="s">
        <v>1155</v>
      </c>
      <c r="B12" s="9" t="s">
        <v>1163</v>
      </c>
      <c r="C12" s="12" t="s">
        <v>1266</v>
      </c>
      <c r="D12" s="9"/>
      <c r="E12" s="11" t="s">
        <v>1186</v>
      </c>
      <c r="F12" s="52" t="s">
        <v>183</v>
      </c>
      <c r="I12" t="s">
        <v>140</v>
      </c>
      <c r="J12" s="10">
        <v>11632</v>
      </c>
      <c r="K12" s="10">
        <v>43001</v>
      </c>
      <c r="L12" t="s">
        <v>63</v>
      </c>
      <c r="M12" t="s">
        <v>15</v>
      </c>
      <c r="N12" s="107" t="str">
        <f>IF(_xlfn.NUMBERVALUE(DATEDIF(J12,K12,"Y"))-Table1[[#This Row],[Κατηγορία]]&lt;0,"* Check Age *","")</f>
        <v/>
      </c>
    </row>
    <row r="13" spans="1:15" ht="18" hidden="1" customHeight="1" x14ac:dyDescent="0.2">
      <c r="A13" s="9" t="s">
        <v>1202</v>
      </c>
      <c r="B13" s="9" t="s">
        <v>1163</v>
      </c>
      <c r="C13" s="23" t="s">
        <v>1256</v>
      </c>
      <c r="D13" s="9"/>
      <c r="E13" s="11" t="s">
        <v>1186</v>
      </c>
      <c r="F13" s="57" t="s">
        <v>711</v>
      </c>
      <c r="G13" s="1"/>
      <c r="H13" s="58"/>
      <c r="I13" s="1" t="s">
        <v>587</v>
      </c>
      <c r="J13" s="15">
        <v>23859</v>
      </c>
      <c r="K13" s="23">
        <v>2001</v>
      </c>
      <c r="L13" s="1" t="s">
        <v>154</v>
      </c>
      <c r="M13" s="1" t="s">
        <v>285</v>
      </c>
      <c r="N13" s="107"/>
    </row>
    <row r="14" spans="1:15" ht="18" hidden="1" customHeight="1" x14ac:dyDescent="0.2">
      <c r="A14" s="9" t="s">
        <v>1202</v>
      </c>
      <c r="B14" s="9" t="s">
        <v>1163</v>
      </c>
      <c r="C14" s="23" t="s">
        <v>1257</v>
      </c>
      <c r="D14" s="9"/>
      <c r="E14" s="11" t="s">
        <v>1186</v>
      </c>
      <c r="F14" s="57" t="s">
        <v>284</v>
      </c>
      <c r="G14" s="1"/>
      <c r="H14" s="58"/>
      <c r="I14" s="1" t="s">
        <v>999</v>
      </c>
      <c r="J14" s="15">
        <v>27948</v>
      </c>
      <c r="K14" s="15">
        <v>42882</v>
      </c>
      <c r="L14" s="1" t="s">
        <v>173</v>
      </c>
      <c r="M14" s="1" t="s">
        <v>285</v>
      </c>
      <c r="N14" s="107" t="str">
        <f>IF(_xlfn.NUMBERVALUE(DATEDIF(J14,K14,"Y"))-Table1[[#This Row],[Κατηγορία]]&lt;0,"* Check Age *","")</f>
        <v/>
      </c>
    </row>
    <row r="15" spans="1:15" ht="18" hidden="1" customHeight="1" x14ac:dyDescent="0.2">
      <c r="A15" s="9" t="s">
        <v>1202</v>
      </c>
      <c r="B15" s="9" t="s">
        <v>1163</v>
      </c>
      <c r="C15" s="23" t="s">
        <v>1258</v>
      </c>
      <c r="D15" s="9"/>
      <c r="E15" s="11" t="s">
        <v>1186</v>
      </c>
      <c r="F15" s="67" t="s">
        <v>595</v>
      </c>
      <c r="G15" s="68"/>
      <c r="H15" s="92"/>
      <c r="I15" s="1" t="s">
        <v>576</v>
      </c>
      <c r="J15" s="15">
        <v>26963</v>
      </c>
      <c r="K15" s="15">
        <v>43579</v>
      </c>
      <c r="L15" s="1" t="s">
        <v>173</v>
      </c>
      <c r="M15" s="1" t="s">
        <v>285</v>
      </c>
      <c r="N15" s="107" t="str">
        <f>IF(_xlfn.NUMBERVALUE(DATEDIF(J15,K15,"Y"))-Table1[[#This Row],[Κατηγορία]]&lt;0,"* Check Age *","")</f>
        <v/>
      </c>
    </row>
    <row r="16" spans="1:15" ht="18" hidden="1" customHeight="1" x14ac:dyDescent="0.2">
      <c r="A16" s="9" t="s">
        <v>1202</v>
      </c>
      <c r="B16" s="9" t="s">
        <v>1163</v>
      </c>
      <c r="C16" s="23" t="s">
        <v>1259</v>
      </c>
      <c r="D16" s="9"/>
      <c r="E16" s="11" t="s">
        <v>1186</v>
      </c>
      <c r="F16" s="57" t="s">
        <v>1129</v>
      </c>
      <c r="G16" s="1"/>
      <c r="H16" s="58"/>
      <c r="I16" s="1" t="s">
        <v>941</v>
      </c>
      <c r="J16" s="15">
        <v>25631</v>
      </c>
      <c r="K16" s="15">
        <v>45640</v>
      </c>
      <c r="L16" s="1" t="s">
        <v>175</v>
      </c>
      <c r="M16" s="1" t="s">
        <v>176</v>
      </c>
      <c r="N16" s="107" t="str">
        <f>IF(_xlfn.NUMBERVALUE(DATEDIF(J16,K16,"Y"))-Table1[[#This Row],[Κατηγορία]]&lt;0,"* Check Age *","")</f>
        <v/>
      </c>
    </row>
    <row r="17" spans="1:15" ht="18" hidden="1" customHeight="1" x14ac:dyDescent="0.2">
      <c r="A17" s="9" t="s">
        <v>1202</v>
      </c>
      <c r="B17" s="9" t="s">
        <v>1163</v>
      </c>
      <c r="C17" s="23" t="s">
        <v>1260</v>
      </c>
      <c r="D17" s="9"/>
      <c r="E17" s="11" t="s">
        <v>1186</v>
      </c>
      <c r="F17" s="57" t="s">
        <v>1444</v>
      </c>
      <c r="G17" s="1"/>
      <c r="H17" s="58"/>
      <c r="I17" s="1" t="s">
        <v>941</v>
      </c>
      <c r="J17" s="15">
        <v>25631</v>
      </c>
      <c r="K17" s="15">
        <v>46004</v>
      </c>
      <c r="L17" s="1" t="s">
        <v>175</v>
      </c>
      <c r="M17" s="1" t="s">
        <v>176</v>
      </c>
      <c r="N17" s="107" t="str">
        <f>IF(_xlfn.NUMBERVALUE(DATEDIF(J17,K17,"Y"))-Table1[[#This Row],[Κατηγορία]]&lt;0,"* Check Age *","")</f>
        <v/>
      </c>
    </row>
    <row r="18" spans="1:15" ht="18" hidden="1" customHeight="1" x14ac:dyDescent="0.2">
      <c r="A18" s="9" t="s">
        <v>1202</v>
      </c>
      <c r="B18" s="9" t="s">
        <v>1163</v>
      </c>
      <c r="C18" s="23" t="s">
        <v>1261</v>
      </c>
      <c r="D18" s="9"/>
      <c r="E18" s="11" t="s">
        <v>1186</v>
      </c>
      <c r="F18" s="57" t="s">
        <v>596</v>
      </c>
      <c r="G18" s="1"/>
      <c r="H18" s="58"/>
      <c r="I18" s="1" t="s">
        <v>577</v>
      </c>
      <c r="J18" s="15">
        <v>16032</v>
      </c>
      <c r="K18" s="23">
        <v>2007</v>
      </c>
      <c r="L18" s="1" t="s">
        <v>598</v>
      </c>
      <c r="M18" s="1" t="s">
        <v>15</v>
      </c>
      <c r="N18" s="107"/>
    </row>
    <row r="19" spans="1:15" ht="18" hidden="1" customHeight="1" x14ac:dyDescent="0.2">
      <c r="A19" s="9" t="s">
        <v>1202</v>
      </c>
      <c r="B19" s="9" t="s">
        <v>1163</v>
      </c>
      <c r="C19" s="23" t="s">
        <v>1262</v>
      </c>
      <c r="D19" s="9"/>
      <c r="E19" s="11" t="s">
        <v>1186</v>
      </c>
      <c r="F19" s="57" t="s">
        <v>597</v>
      </c>
      <c r="G19" s="1"/>
      <c r="H19" s="58"/>
      <c r="I19" s="1" t="s">
        <v>551</v>
      </c>
      <c r="J19" s="15">
        <v>16062</v>
      </c>
      <c r="K19" s="23">
        <v>2009</v>
      </c>
      <c r="L19" s="1" t="s">
        <v>57</v>
      </c>
      <c r="M19" s="1" t="s">
        <v>15</v>
      </c>
      <c r="N19" s="107"/>
    </row>
    <row r="20" spans="1:15" ht="18" hidden="1" customHeight="1" x14ac:dyDescent="0.2">
      <c r="A20" s="9" t="s">
        <v>1155</v>
      </c>
      <c r="B20" s="9" t="s">
        <v>1173</v>
      </c>
      <c r="C20" s="12" t="s">
        <v>1256</v>
      </c>
      <c r="D20" s="9"/>
      <c r="E20" s="11" t="s">
        <v>1186</v>
      </c>
      <c r="F20" s="52" t="s">
        <v>1045</v>
      </c>
      <c r="G20" s="61"/>
      <c r="I20" t="s">
        <v>1017</v>
      </c>
      <c r="J20" s="10">
        <v>32404</v>
      </c>
      <c r="K20" s="10">
        <v>45423</v>
      </c>
      <c r="L20" t="s">
        <v>1046</v>
      </c>
      <c r="M20" s="61" t="s">
        <v>155</v>
      </c>
      <c r="N20" s="107" t="str">
        <f>IF(_xlfn.NUMBERVALUE(DATEDIF(J20,K20,"Y"))-Table1[[#This Row],[Κατηγορία]]&lt;0,"* Check Age *","")</f>
        <v/>
      </c>
    </row>
    <row r="21" spans="1:15" ht="18" hidden="1" customHeight="1" x14ac:dyDescent="0.2">
      <c r="A21" s="9" t="s">
        <v>1155</v>
      </c>
      <c r="B21" s="9" t="s">
        <v>1173</v>
      </c>
      <c r="C21" s="12" t="s">
        <v>1257</v>
      </c>
      <c r="D21" s="9"/>
      <c r="E21" s="11" t="s">
        <v>1186</v>
      </c>
      <c r="F21" s="52" t="s">
        <v>363</v>
      </c>
      <c r="G21" s="61"/>
      <c r="I21" t="s">
        <v>345</v>
      </c>
      <c r="J21" s="10">
        <v>19482</v>
      </c>
      <c r="K21" s="11">
        <v>1994</v>
      </c>
      <c r="L21" t="s">
        <v>44</v>
      </c>
      <c r="M21" s="61" t="s">
        <v>308</v>
      </c>
      <c r="N21" s="107"/>
    </row>
    <row r="22" spans="1:15" ht="18" hidden="1" customHeight="1" x14ac:dyDescent="0.2">
      <c r="A22" s="9" t="s">
        <v>1155</v>
      </c>
      <c r="B22" s="9" t="s">
        <v>1173</v>
      </c>
      <c r="C22" s="12" t="s">
        <v>1258</v>
      </c>
      <c r="D22" s="9"/>
      <c r="E22" s="11" t="s">
        <v>1186</v>
      </c>
      <c r="F22" s="52" t="s">
        <v>364</v>
      </c>
      <c r="G22" s="61"/>
      <c r="I22" t="s">
        <v>345</v>
      </c>
      <c r="J22" s="10">
        <v>19482</v>
      </c>
      <c r="K22" s="10">
        <v>35910</v>
      </c>
      <c r="L22" t="s">
        <v>44</v>
      </c>
      <c r="M22" s="61" t="s">
        <v>308</v>
      </c>
      <c r="N22" s="107" t="str">
        <f>IF(_xlfn.NUMBERVALUE(DATEDIF(J22,K22,"Y"))-Table1[[#This Row],[Κατηγορία]]&lt;0,CONCATENATE("* Check Age = ",TEXT(DATEDIF(J22,K22,"Y"),"00"),"*"),"")</f>
        <v>* Check Age = 44*</v>
      </c>
      <c r="O22" t="s">
        <v>1427</v>
      </c>
    </row>
    <row r="23" spans="1:15" ht="18" hidden="1" customHeight="1" x14ac:dyDescent="0.2">
      <c r="A23" s="9" t="s">
        <v>1155</v>
      </c>
      <c r="B23" s="9" t="s">
        <v>1173</v>
      </c>
      <c r="C23" s="12" t="s">
        <v>1259</v>
      </c>
      <c r="D23" s="9"/>
      <c r="E23" s="11" t="s">
        <v>1186</v>
      </c>
      <c r="F23" s="52" t="s">
        <v>365</v>
      </c>
      <c r="G23" s="61"/>
      <c r="I23" t="s">
        <v>345</v>
      </c>
      <c r="J23" s="10">
        <v>19482</v>
      </c>
      <c r="K23" s="11">
        <v>2005</v>
      </c>
      <c r="L23" t="s">
        <v>366</v>
      </c>
      <c r="M23" t="s">
        <v>79</v>
      </c>
      <c r="N23" s="107"/>
    </row>
    <row r="24" spans="1:15" ht="18" hidden="1" customHeight="1" x14ac:dyDescent="0.2">
      <c r="A24" s="9" t="s">
        <v>1155</v>
      </c>
      <c r="B24" s="9" t="s">
        <v>1173</v>
      </c>
      <c r="C24" s="12" t="s">
        <v>1260</v>
      </c>
      <c r="D24" s="9"/>
      <c r="E24" s="11" t="s">
        <v>1186</v>
      </c>
      <c r="F24" s="52" t="s">
        <v>307</v>
      </c>
      <c r="G24" s="61"/>
      <c r="I24" s="61" t="s">
        <v>306</v>
      </c>
      <c r="J24" s="11">
        <v>1963</v>
      </c>
      <c r="K24" s="10">
        <v>43604</v>
      </c>
      <c r="L24" s="61" t="s">
        <v>86</v>
      </c>
      <c r="M24" s="61" t="s">
        <v>308</v>
      </c>
      <c r="N24" s="107" t="str">
        <f>IF(_xlfn.NUMBERVALUE(DATEDIF(J24,K24,"Y"))-Table1[[#This Row],[Κατηγορία]]&lt;0,"* Check Age *","")</f>
        <v/>
      </c>
    </row>
    <row r="25" spans="1:15" ht="18" hidden="1" customHeight="1" x14ac:dyDescent="0.2">
      <c r="A25" s="9" t="s">
        <v>1155</v>
      </c>
      <c r="B25" s="9" t="s">
        <v>1173</v>
      </c>
      <c r="C25" s="12" t="s">
        <v>1261</v>
      </c>
      <c r="D25" s="9"/>
      <c r="E25" s="11" t="s">
        <v>1186</v>
      </c>
      <c r="F25" s="52" t="s">
        <v>367</v>
      </c>
      <c r="G25" s="61"/>
      <c r="I25" t="s">
        <v>94</v>
      </c>
      <c r="J25" s="10">
        <v>16073</v>
      </c>
      <c r="K25" s="11">
        <v>2007</v>
      </c>
      <c r="L25" s="61" t="s">
        <v>218</v>
      </c>
      <c r="M25" s="61" t="s">
        <v>85</v>
      </c>
      <c r="N25" s="107"/>
    </row>
    <row r="26" spans="1:15" ht="18" hidden="1" customHeight="1" x14ac:dyDescent="0.2">
      <c r="A26" s="9" t="s">
        <v>1155</v>
      </c>
      <c r="B26" s="9" t="s">
        <v>1173</v>
      </c>
      <c r="C26" s="12" t="s">
        <v>1262</v>
      </c>
      <c r="D26" s="9"/>
      <c r="E26" s="11" t="s">
        <v>1186</v>
      </c>
      <c r="F26" s="52" t="s">
        <v>368</v>
      </c>
      <c r="G26" s="61"/>
      <c r="I26" t="s">
        <v>94</v>
      </c>
      <c r="J26" s="10">
        <v>16073</v>
      </c>
      <c r="K26" s="11">
        <v>2012</v>
      </c>
      <c r="L26" s="61" t="s">
        <v>369</v>
      </c>
      <c r="M26" s="61" t="s">
        <v>85</v>
      </c>
      <c r="N26" s="107"/>
    </row>
    <row r="27" spans="1:15" ht="18" hidden="1" customHeight="1" x14ac:dyDescent="0.2">
      <c r="A27" s="9" t="s">
        <v>1202</v>
      </c>
      <c r="B27" s="9" t="s">
        <v>1173</v>
      </c>
      <c r="C27" s="23" t="s">
        <v>1256</v>
      </c>
      <c r="D27" s="9"/>
      <c r="E27" s="11" t="s">
        <v>1186</v>
      </c>
      <c r="F27" s="57" t="s">
        <v>932</v>
      </c>
      <c r="G27" s="1"/>
      <c r="H27" s="58"/>
      <c r="I27" s="1" t="s">
        <v>287</v>
      </c>
      <c r="J27" s="15">
        <v>30762</v>
      </c>
      <c r="K27" s="15">
        <v>44932</v>
      </c>
      <c r="L27" s="1" t="s">
        <v>933</v>
      </c>
      <c r="M27" s="1" t="s">
        <v>934</v>
      </c>
      <c r="N27" s="107" t="str">
        <f>IF(_xlfn.NUMBERVALUE(DATEDIF(J27,K27,"Y"))-Table1[[#This Row],[Κατηγορία]]&lt;0,"* Check Age *","")</f>
        <v/>
      </c>
    </row>
    <row r="28" spans="1:15" ht="18" hidden="1" customHeight="1" x14ac:dyDescent="0.2">
      <c r="A28" s="9" t="s">
        <v>1202</v>
      </c>
      <c r="B28" s="9" t="s">
        <v>1173</v>
      </c>
      <c r="C28" s="23" t="s">
        <v>1257</v>
      </c>
      <c r="D28" s="9"/>
      <c r="E28" s="11" t="s">
        <v>1186</v>
      </c>
      <c r="F28" s="57" t="s">
        <v>288</v>
      </c>
      <c r="G28" s="1"/>
      <c r="H28" s="58"/>
      <c r="I28" s="1" t="s">
        <v>289</v>
      </c>
      <c r="J28" s="15">
        <v>28758</v>
      </c>
      <c r="K28" s="15">
        <v>43597</v>
      </c>
      <c r="L28" s="1" t="s">
        <v>130</v>
      </c>
      <c r="M28" s="4" t="s">
        <v>290</v>
      </c>
      <c r="N28" s="107" t="str">
        <f>IF(_xlfn.NUMBERVALUE(DATEDIF(J28,K28,"Y"))-Table1[[#This Row],[Κατηγορία]]&lt;0,"* Check Age *","")</f>
        <v/>
      </c>
    </row>
    <row r="29" spans="1:15" ht="18" hidden="1" customHeight="1" x14ac:dyDescent="0.2">
      <c r="A29" s="9" t="s">
        <v>1202</v>
      </c>
      <c r="B29" s="9" t="s">
        <v>1173</v>
      </c>
      <c r="C29" s="23" t="s">
        <v>1258</v>
      </c>
      <c r="D29" s="9"/>
      <c r="E29" s="11" t="s">
        <v>1186</v>
      </c>
      <c r="F29" s="57" t="s">
        <v>630</v>
      </c>
      <c r="G29" s="1"/>
      <c r="H29" s="58"/>
      <c r="I29" s="1" t="s">
        <v>623</v>
      </c>
      <c r="J29" s="15">
        <v>25489</v>
      </c>
      <c r="K29" s="23">
        <v>2014</v>
      </c>
      <c r="L29" s="1" t="s">
        <v>44</v>
      </c>
      <c r="M29" s="4"/>
      <c r="N29" s="107"/>
    </row>
    <row r="30" spans="1:15" ht="18" hidden="1" customHeight="1" x14ac:dyDescent="0.2">
      <c r="A30" s="9" t="s">
        <v>1202</v>
      </c>
      <c r="B30" s="9" t="s">
        <v>1173</v>
      </c>
      <c r="C30" s="23" t="s">
        <v>1259</v>
      </c>
      <c r="D30" s="9"/>
      <c r="E30" s="11" t="s">
        <v>1186</v>
      </c>
      <c r="F30" s="57" t="s">
        <v>631</v>
      </c>
      <c r="G30" s="1"/>
      <c r="H30" s="58"/>
      <c r="I30" s="1" t="s">
        <v>582</v>
      </c>
      <c r="J30" s="23">
        <v>1954</v>
      </c>
      <c r="K30" s="23">
        <v>2008</v>
      </c>
      <c r="L30" s="4" t="s">
        <v>201</v>
      </c>
      <c r="M30" s="4"/>
      <c r="N30" s="107"/>
    </row>
    <row r="31" spans="1:15" ht="18" hidden="1" customHeight="1" x14ac:dyDescent="0.2">
      <c r="A31" s="9" t="s">
        <v>1202</v>
      </c>
      <c r="B31" s="9" t="s">
        <v>1173</v>
      </c>
      <c r="C31" s="23" t="s">
        <v>1260</v>
      </c>
      <c r="D31" s="9"/>
      <c r="E31" s="11" t="s">
        <v>1186</v>
      </c>
      <c r="F31" s="57" t="s">
        <v>937</v>
      </c>
      <c r="G31" s="1"/>
      <c r="H31" s="89"/>
      <c r="I31" s="1" t="s">
        <v>618</v>
      </c>
      <c r="J31" s="15">
        <v>24465</v>
      </c>
      <c r="K31" s="15">
        <v>45016</v>
      </c>
      <c r="L31" t="s">
        <v>936</v>
      </c>
      <c r="M31" t="s">
        <v>85</v>
      </c>
      <c r="N31" s="107" t="str">
        <f>IF(_xlfn.NUMBERVALUE(DATEDIF(J31,K31,"Y"))-Table1[[#This Row],[Κατηγορία]]&lt;0,"* Check Age *","")</f>
        <v/>
      </c>
    </row>
    <row r="32" spans="1:15" ht="18" hidden="1" customHeight="1" x14ac:dyDescent="0.2">
      <c r="A32" s="9" t="s">
        <v>1155</v>
      </c>
      <c r="B32" s="9" t="s">
        <v>1157</v>
      </c>
      <c r="C32" s="12">
        <v>35</v>
      </c>
      <c r="D32" s="9"/>
      <c r="E32" s="11" t="s">
        <v>1186</v>
      </c>
      <c r="F32" s="52" t="s">
        <v>29</v>
      </c>
      <c r="I32" t="s">
        <v>30</v>
      </c>
      <c r="J32" s="10">
        <f>VLOOKUP(I32,'Database Names'!$A$2:$B$50000,2,FALSE)</f>
        <v>25013</v>
      </c>
      <c r="K32" s="10">
        <v>37808</v>
      </c>
      <c r="L32" t="s">
        <v>31</v>
      </c>
      <c r="M32" t="s">
        <v>96</v>
      </c>
      <c r="N32" s="107" t="str">
        <f>IF(_xlfn.NUMBERVALUE(DATEDIF(J32,K32,"Y"))-Table1[[#This Row],[Κατηγορία]]&lt;0,"* Check Age *","")</f>
        <v/>
      </c>
    </row>
    <row r="33" spans="1:15" ht="18" hidden="1" customHeight="1" x14ac:dyDescent="0.2">
      <c r="A33" s="9" t="s">
        <v>1155</v>
      </c>
      <c r="B33" s="9" t="s">
        <v>1157</v>
      </c>
      <c r="C33" s="12">
        <v>40</v>
      </c>
      <c r="D33" s="9"/>
      <c r="E33" s="11" t="s">
        <v>1186</v>
      </c>
      <c r="F33" s="52" t="s">
        <v>21</v>
      </c>
      <c r="I33" t="s">
        <v>22</v>
      </c>
      <c r="J33" s="10">
        <v>25083</v>
      </c>
      <c r="K33" s="10">
        <v>40713</v>
      </c>
      <c r="L33" t="s">
        <v>23</v>
      </c>
      <c r="M33" t="s">
        <v>40</v>
      </c>
      <c r="N33" s="107" t="str">
        <f>IF(_xlfn.NUMBERVALUE(DATEDIF(J33,K33,"Y"))-Table1[[#This Row],[Κατηγορία]]&lt;0,"* Check Age *","")</f>
        <v/>
      </c>
    </row>
    <row r="34" spans="1:15" ht="18" hidden="1" customHeight="1" x14ac:dyDescent="0.2">
      <c r="A34" s="9" t="s">
        <v>1155</v>
      </c>
      <c r="B34" s="9" t="s">
        <v>1157</v>
      </c>
      <c r="C34" s="12" t="s">
        <v>1257</v>
      </c>
      <c r="D34" s="9"/>
      <c r="E34" s="11" t="s">
        <v>1187</v>
      </c>
      <c r="F34" s="52" t="s">
        <v>17</v>
      </c>
      <c r="H34" s="11" t="s">
        <v>25</v>
      </c>
      <c r="I34" t="s">
        <v>6</v>
      </c>
      <c r="J34" s="10">
        <v>28150</v>
      </c>
      <c r="K34" s="10">
        <v>43240</v>
      </c>
      <c r="L34" t="s">
        <v>18</v>
      </c>
      <c r="M34" t="s">
        <v>19</v>
      </c>
      <c r="N34" s="107" t="str">
        <f>IF(_xlfn.NUMBERVALUE(DATEDIF(J34,K34,"Y"))-Table1[[#This Row],[Κατηγορία]]&lt;0,"* Check Age *","")</f>
        <v/>
      </c>
    </row>
    <row r="35" spans="1:15" ht="18" hidden="1" customHeight="1" x14ac:dyDescent="0.2">
      <c r="A35" s="16" t="s">
        <v>1155</v>
      </c>
      <c r="B35" s="16" t="s">
        <v>1157</v>
      </c>
      <c r="C35" s="104" t="s">
        <v>1258</v>
      </c>
      <c r="D35" s="16"/>
      <c r="E35" s="18" t="s">
        <v>1186</v>
      </c>
      <c r="F35" s="105" t="s">
        <v>21</v>
      </c>
      <c r="G35" s="17"/>
      <c r="H35" s="18"/>
      <c r="I35" s="17" t="s">
        <v>32</v>
      </c>
      <c r="J35" s="18">
        <v>1956</v>
      </c>
      <c r="K35" s="18">
        <v>2004</v>
      </c>
      <c r="L35" s="17" t="s">
        <v>33</v>
      </c>
      <c r="M35" s="17"/>
      <c r="N35" s="17"/>
      <c r="O35" s="17" t="s">
        <v>1425</v>
      </c>
    </row>
    <row r="36" spans="1:15" ht="18" hidden="1" customHeight="1" x14ac:dyDescent="0.2">
      <c r="A36" s="9" t="s">
        <v>1155</v>
      </c>
      <c r="B36" s="9" t="s">
        <v>1157</v>
      </c>
      <c r="C36" s="12" t="s">
        <v>1258</v>
      </c>
      <c r="D36" s="9"/>
      <c r="E36" s="11" t="s">
        <v>1353</v>
      </c>
      <c r="F36" s="52" t="s">
        <v>677</v>
      </c>
      <c r="H36" s="11" t="s">
        <v>1284</v>
      </c>
      <c r="I36" t="s">
        <v>83</v>
      </c>
      <c r="J36" s="10">
        <v>28389</v>
      </c>
      <c r="K36" s="10">
        <v>45832</v>
      </c>
      <c r="L36" t="s">
        <v>1354</v>
      </c>
      <c r="M36" t="s">
        <v>1355</v>
      </c>
      <c r="N36" s="107" t="str">
        <f>IF(_xlfn.NUMBERVALUE(DATEDIF(J36,K36,"Y"))-Table1[[#This Row],[Κατηγορία]]&lt;0,"* Check Age *","")</f>
        <v/>
      </c>
    </row>
    <row r="37" spans="1:15" ht="18" hidden="1" customHeight="1" x14ac:dyDescent="0.2">
      <c r="A37" s="9" t="s">
        <v>1155</v>
      </c>
      <c r="B37" s="9" t="s">
        <v>1157</v>
      </c>
      <c r="C37" s="12" t="s">
        <v>1258</v>
      </c>
      <c r="D37" s="9"/>
      <c r="E37" s="11" t="s">
        <v>1187</v>
      </c>
      <c r="F37" s="52" t="s">
        <v>677</v>
      </c>
      <c r="H37" s="11" t="s">
        <v>835</v>
      </c>
      <c r="I37" t="s">
        <v>6</v>
      </c>
      <c r="J37" s="10">
        <v>28150</v>
      </c>
      <c r="K37" s="10">
        <v>45809</v>
      </c>
      <c r="L37" t="s">
        <v>1280</v>
      </c>
      <c r="M37" t="s">
        <v>1281</v>
      </c>
      <c r="N37" s="107" t="str">
        <f>IF(_xlfn.NUMBERVALUE(DATEDIF(J37,K37,"Y"))-Table1[[#This Row],[Κατηγορία]]&lt;0,"* Check Age *","")</f>
        <v/>
      </c>
    </row>
    <row r="38" spans="1:15" ht="18" hidden="1" customHeight="1" x14ac:dyDescent="0.2">
      <c r="A38" s="9" t="s">
        <v>1155</v>
      </c>
      <c r="B38" s="9" t="s">
        <v>1157</v>
      </c>
      <c r="C38" s="12" t="s">
        <v>1259</v>
      </c>
      <c r="D38" s="9"/>
      <c r="E38" s="11" t="s">
        <v>1186</v>
      </c>
      <c r="F38" s="52" t="s">
        <v>38</v>
      </c>
      <c r="I38" t="s">
        <v>39</v>
      </c>
      <c r="J38" s="10">
        <v>25005</v>
      </c>
      <c r="K38" s="10">
        <v>43274</v>
      </c>
      <c r="L38" t="s">
        <v>23</v>
      </c>
      <c r="M38" t="s">
        <v>40</v>
      </c>
      <c r="N38" s="107" t="str">
        <f>IF(_xlfn.NUMBERVALUE(DATEDIF(J38,K38,"Y"))-Table1[[#This Row],[Κατηγορία]]&lt;0,"* Check Age *","")</f>
        <v/>
      </c>
    </row>
    <row r="39" spans="1:15" ht="18" hidden="1" customHeight="1" x14ac:dyDescent="0.2">
      <c r="A39" s="9" t="s">
        <v>1155</v>
      </c>
      <c r="B39" s="9" t="s">
        <v>1157</v>
      </c>
      <c r="C39" s="12" t="s">
        <v>1260</v>
      </c>
      <c r="D39" s="9"/>
      <c r="E39" s="11" t="s">
        <v>1186</v>
      </c>
      <c r="F39" s="52" t="s">
        <v>1069</v>
      </c>
      <c r="H39" s="11" t="s">
        <v>1070</v>
      </c>
      <c r="I39" t="s">
        <v>39</v>
      </c>
      <c r="J39" s="10">
        <v>25005</v>
      </c>
      <c r="K39" s="10">
        <v>45479</v>
      </c>
      <c r="L39" t="s">
        <v>1026</v>
      </c>
      <c r="M39" t="s">
        <v>40</v>
      </c>
      <c r="N39" s="107" t="str">
        <f>IF(_xlfn.NUMBERVALUE(DATEDIF(J39,K39,"Y"))-Table1[[#This Row],[Κατηγορία]]&lt;0,"* Check Age *","")</f>
        <v/>
      </c>
    </row>
    <row r="40" spans="1:15" ht="18" hidden="1" customHeight="1" x14ac:dyDescent="0.2">
      <c r="A40" s="9" t="s">
        <v>1155</v>
      </c>
      <c r="B40" s="9" t="s">
        <v>1157</v>
      </c>
      <c r="C40" s="12" t="s">
        <v>1261</v>
      </c>
      <c r="D40" s="9"/>
      <c r="E40" s="11" t="s">
        <v>1186</v>
      </c>
      <c r="F40" s="52" t="s">
        <v>41</v>
      </c>
      <c r="I40" t="s">
        <v>42</v>
      </c>
      <c r="J40" s="10">
        <v>12579</v>
      </c>
      <c r="K40" s="11">
        <v>1994</v>
      </c>
      <c r="L40" t="s">
        <v>43</v>
      </c>
      <c r="M40" t="s">
        <v>15</v>
      </c>
      <c r="N40" s="107"/>
    </row>
    <row r="41" spans="1:15" ht="18" hidden="1" customHeight="1" x14ac:dyDescent="0.2">
      <c r="A41" s="9" t="s">
        <v>1155</v>
      </c>
      <c r="B41" s="9" t="s">
        <v>1157</v>
      </c>
      <c r="C41" s="12" t="s">
        <v>1262</v>
      </c>
      <c r="D41" s="9"/>
      <c r="E41" s="11" t="s">
        <v>1186</v>
      </c>
      <c r="F41" s="52" t="s">
        <v>1071</v>
      </c>
      <c r="H41" s="11" t="s">
        <v>835</v>
      </c>
      <c r="I41" t="s">
        <v>375</v>
      </c>
      <c r="J41" s="10">
        <v>21398</v>
      </c>
      <c r="K41" s="10">
        <v>45479</v>
      </c>
      <c r="L41" t="s">
        <v>1026</v>
      </c>
      <c r="M41" t="s">
        <v>40</v>
      </c>
      <c r="N41" s="107" t="str">
        <f>IF(_xlfn.NUMBERVALUE(DATEDIF(J41,K41,"Y"))-Table1[[#This Row],[Κατηγορία]]&lt;0,"* Check Age *","")</f>
        <v/>
      </c>
    </row>
    <row r="42" spans="1:15" ht="18" hidden="1" customHeight="1" x14ac:dyDescent="0.2">
      <c r="A42" s="9" t="s">
        <v>1155</v>
      </c>
      <c r="B42" s="9" t="s">
        <v>1157</v>
      </c>
      <c r="C42" s="12" t="s">
        <v>1263</v>
      </c>
      <c r="D42" s="9"/>
      <c r="E42" s="11" t="s">
        <v>1186</v>
      </c>
      <c r="F42" s="52" t="s">
        <v>1010</v>
      </c>
      <c r="I42" t="s">
        <v>1048</v>
      </c>
      <c r="J42" s="10">
        <v>19748</v>
      </c>
      <c r="K42" s="11">
        <v>2019</v>
      </c>
      <c r="L42" t="s">
        <v>1009</v>
      </c>
      <c r="M42" t="s">
        <v>726</v>
      </c>
      <c r="N42" s="107"/>
    </row>
    <row r="43" spans="1:15" ht="18" hidden="1" customHeight="1" x14ac:dyDescent="0.2">
      <c r="A43" s="9" t="s">
        <v>1155</v>
      </c>
      <c r="B43" s="9" t="s">
        <v>1157</v>
      </c>
      <c r="C43" s="12" t="s">
        <v>1263</v>
      </c>
      <c r="D43" s="9"/>
      <c r="E43" s="11" t="s">
        <v>1188</v>
      </c>
      <c r="F43" s="52" t="s">
        <v>47</v>
      </c>
      <c r="I43" t="s">
        <v>48</v>
      </c>
      <c r="J43" s="10">
        <v>17766</v>
      </c>
      <c r="K43" s="10">
        <v>43597</v>
      </c>
      <c r="L43" t="s">
        <v>49</v>
      </c>
      <c r="M43" t="s">
        <v>50</v>
      </c>
      <c r="N43" s="107" t="str">
        <f>IF(_xlfn.NUMBERVALUE(DATEDIF(J43,K43,"Y"))-Table1[[#This Row],[Κατηγορία]]&lt;0,"* Check Age *","")</f>
        <v/>
      </c>
    </row>
    <row r="44" spans="1:15" ht="18" hidden="1" customHeight="1" x14ac:dyDescent="0.2">
      <c r="A44" s="9" t="s">
        <v>1155</v>
      </c>
      <c r="B44" s="9" t="s">
        <v>1157</v>
      </c>
      <c r="C44" s="12" t="s">
        <v>1264</v>
      </c>
      <c r="D44" s="9"/>
      <c r="E44" s="11" t="s">
        <v>1186</v>
      </c>
      <c r="F44" s="52" t="s">
        <v>51</v>
      </c>
      <c r="I44" t="s">
        <v>52</v>
      </c>
      <c r="J44" s="11">
        <v>1924</v>
      </c>
      <c r="K44" s="11">
        <v>1999</v>
      </c>
      <c r="L44" t="s">
        <v>44</v>
      </c>
      <c r="N44" s="107"/>
    </row>
    <row r="45" spans="1:15" ht="18" hidden="1" customHeight="1" x14ac:dyDescent="0.2">
      <c r="A45" s="9" t="s">
        <v>1155</v>
      </c>
      <c r="B45" s="9" t="s">
        <v>1157</v>
      </c>
      <c r="C45" s="12" t="s">
        <v>1265</v>
      </c>
      <c r="D45" s="9"/>
      <c r="E45" s="11" t="s">
        <v>1186</v>
      </c>
      <c r="F45" s="52" t="s">
        <v>54</v>
      </c>
      <c r="I45" t="s">
        <v>53</v>
      </c>
      <c r="J45" s="10">
        <v>6002</v>
      </c>
      <c r="K45" s="10">
        <v>35959</v>
      </c>
      <c r="L45" t="s">
        <v>55</v>
      </c>
      <c r="M45" t="s">
        <v>40</v>
      </c>
      <c r="N45" s="107" t="str">
        <f>IF(_xlfn.NUMBERVALUE(DATEDIF(J45,K45,"Y"))-Table1[[#This Row],[Κατηγορία]]&lt;0,"* Check Age *","")</f>
        <v/>
      </c>
    </row>
    <row r="46" spans="1:15" ht="18" hidden="1" customHeight="1" x14ac:dyDescent="0.2">
      <c r="A46" s="9" t="s">
        <v>1155</v>
      </c>
      <c r="B46" s="9" t="s">
        <v>1157</v>
      </c>
      <c r="C46" s="12" t="s">
        <v>1265</v>
      </c>
      <c r="D46" s="9"/>
      <c r="E46" s="11" t="s">
        <v>1187</v>
      </c>
      <c r="F46" s="52" t="s">
        <v>56</v>
      </c>
      <c r="I46" t="s">
        <v>42</v>
      </c>
      <c r="J46" s="10">
        <v>12579</v>
      </c>
      <c r="K46" s="11">
        <v>2014</v>
      </c>
      <c r="L46" t="s">
        <v>57</v>
      </c>
      <c r="M46" t="s">
        <v>79</v>
      </c>
      <c r="N46" s="107"/>
    </row>
    <row r="47" spans="1:15" ht="18" hidden="1" customHeight="1" x14ac:dyDescent="0.2">
      <c r="A47" s="9" t="s">
        <v>1155</v>
      </c>
      <c r="B47" s="9" t="s">
        <v>1157</v>
      </c>
      <c r="C47" s="12" t="s">
        <v>1266</v>
      </c>
      <c r="D47" s="9"/>
      <c r="E47" s="11" t="s">
        <v>1186</v>
      </c>
      <c r="F47" s="52" t="s">
        <v>58</v>
      </c>
      <c r="I47" t="s">
        <v>59</v>
      </c>
      <c r="J47" s="10">
        <v>10618</v>
      </c>
      <c r="K47" s="11">
        <v>2014</v>
      </c>
      <c r="L47" t="s">
        <v>60</v>
      </c>
      <c r="M47" t="s">
        <v>40</v>
      </c>
      <c r="N47" s="107"/>
    </row>
    <row r="48" spans="1:15" ht="18" hidden="1" customHeight="1" x14ac:dyDescent="0.2">
      <c r="A48" s="9" t="s">
        <v>1155</v>
      </c>
      <c r="B48" s="9" t="s">
        <v>1157</v>
      </c>
      <c r="C48" s="12" t="s">
        <v>1266</v>
      </c>
      <c r="D48" s="9"/>
      <c r="E48" s="11" t="s">
        <v>1187</v>
      </c>
      <c r="F48" s="52" t="s">
        <v>58</v>
      </c>
      <c r="I48" t="s">
        <v>212</v>
      </c>
      <c r="J48" s="10">
        <v>13492</v>
      </c>
      <c r="K48" s="10">
        <v>44758</v>
      </c>
      <c r="L48" t="s">
        <v>46</v>
      </c>
      <c r="M48" t="s">
        <v>40</v>
      </c>
      <c r="N48" s="107" t="str">
        <f>IF(_xlfn.NUMBERVALUE(DATEDIF(J48,K48,"Y"))-Table1[[#This Row],[Κατηγορία]]&lt;0,"* Check Age *","")</f>
        <v/>
      </c>
    </row>
    <row r="49" spans="1:14" ht="18" hidden="1" customHeight="1" x14ac:dyDescent="0.2">
      <c r="A49" s="9" t="s">
        <v>1155</v>
      </c>
      <c r="B49" s="9" t="s">
        <v>1157</v>
      </c>
      <c r="C49" s="12" t="s">
        <v>1267</v>
      </c>
      <c r="D49" s="9"/>
      <c r="E49" s="11" t="s">
        <v>1186</v>
      </c>
      <c r="F49" s="52" t="s">
        <v>61</v>
      </c>
      <c r="I49" t="s">
        <v>59</v>
      </c>
      <c r="J49" s="10">
        <v>10618</v>
      </c>
      <c r="K49" s="11">
        <v>2019</v>
      </c>
      <c r="L49" t="s">
        <v>27</v>
      </c>
      <c r="M49" t="s">
        <v>177</v>
      </c>
      <c r="N49" s="107"/>
    </row>
    <row r="50" spans="1:14" ht="18" hidden="1" customHeight="1" x14ac:dyDescent="0.2">
      <c r="A50" s="9" t="s">
        <v>1155</v>
      </c>
      <c r="B50" s="9" t="s">
        <v>1157</v>
      </c>
      <c r="C50" s="12" t="s">
        <v>1268</v>
      </c>
      <c r="D50" s="9"/>
      <c r="E50" s="11" t="s">
        <v>1186</v>
      </c>
      <c r="F50" s="52" t="s">
        <v>1369</v>
      </c>
      <c r="H50" s="11" t="s">
        <v>1370</v>
      </c>
      <c r="I50" t="s">
        <v>59</v>
      </c>
      <c r="J50" s="10">
        <v>10618</v>
      </c>
      <c r="K50" s="10">
        <v>45844</v>
      </c>
      <c r="L50" t="s">
        <v>44</v>
      </c>
      <c r="M50" t="s">
        <v>957</v>
      </c>
      <c r="N50" s="107" t="str">
        <f>IF(_xlfn.NUMBERVALUE(DATEDIF(J50,K50,"Y"))-Table1[[#This Row],[Κατηγορία]]&lt;0,"* Check Age *","")</f>
        <v/>
      </c>
    </row>
    <row r="51" spans="1:14" ht="18" hidden="1" customHeight="1" x14ac:dyDescent="0.2">
      <c r="A51" s="9" t="s">
        <v>1155</v>
      </c>
      <c r="B51" s="9" t="s">
        <v>1157</v>
      </c>
      <c r="C51" s="12">
        <v>100</v>
      </c>
      <c r="D51" s="9"/>
      <c r="E51" s="11" t="s">
        <v>1186</v>
      </c>
      <c r="F51" s="52" t="s">
        <v>64</v>
      </c>
      <c r="I51" t="s">
        <v>65</v>
      </c>
      <c r="J51" s="10">
        <v>5645</v>
      </c>
      <c r="K51" s="10">
        <v>42532</v>
      </c>
      <c r="L51" t="s">
        <v>66</v>
      </c>
      <c r="M51" t="s">
        <v>40</v>
      </c>
      <c r="N51" s="107" t="str">
        <f>IF(_xlfn.NUMBERVALUE(DATEDIF(J51,K51,"Y"))-Table1[[#This Row],[Κατηγορία]]&lt;0,"* Check Age *","")</f>
        <v/>
      </c>
    </row>
    <row r="52" spans="1:14" ht="18" hidden="1" customHeight="1" x14ac:dyDescent="0.2">
      <c r="A52" s="9" t="s">
        <v>1202</v>
      </c>
      <c r="B52" s="9" t="s">
        <v>1157</v>
      </c>
      <c r="C52" s="23" t="s">
        <v>1256</v>
      </c>
      <c r="D52" s="9"/>
      <c r="E52" s="11" t="s">
        <v>1186</v>
      </c>
      <c r="F52" s="57" t="s">
        <v>530</v>
      </c>
      <c r="G52" s="1"/>
      <c r="H52" s="58"/>
      <c r="I52" s="1" t="s">
        <v>531</v>
      </c>
      <c r="J52" s="15">
        <v>23830</v>
      </c>
      <c r="K52" s="15">
        <v>36715</v>
      </c>
      <c r="L52" s="1" t="s">
        <v>154</v>
      </c>
      <c r="M52" s="1" t="s">
        <v>155</v>
      </c>
      <c r="N52" s="107" t="str">
        <f>IF(_xlfn.NUMBERVALUE(DATEDIF(J52,K52,"Y"))-Table1[[#This Row],[Κατηγορία]]&lt;0,"* Check Age *","")</f>
        <v/>
      </c>
    </row>
    <row r="53" spans="1:14" ht="18" hidden="1" customHeight="1" x14ac:dyDescent="0.2">
      <c r="A53" s="9" t="s">
        <v>1202</v>
      </c>
      <c r="B53" s="9" t="s">
        <v>1157</v>
      </c>
      <c r="C53" s="23" t="s">
        <v>1257</v>
      </c>
      <c r="D53" s="9"/>
      <c r="E53" s="11" t="s">
        <v>1186</v>
      </c>
      <c r="F53" s="57" t="s">
        <v>532</v>
      </c>
      <c r="G53" s="1"/>
      <c r="H53" s="58"/>
      <c r="I53" s="1" t="s">
        <v>534</v>
      </c>
      <c r="J53" s="15">
        <v>25836</v>
      </c>
      <c r="K53" s="23">
        <v>2011</v>
      </c>
      <c r="L53" s="1" t="s">
        <v>23</v>
      </c>
      <c r="M53" s="1" t="s">
        <v>343</v>
      </c>
      <c r="N53" s="107"/>
    </row>
    <row r="54" spans="1:14" ht="18" hidden="1" customHeight="1" x14ac:dyDescent="0.2">
      <c r="A54" s="9" t="s">
        <v>1202</v>
      </c>
      <c r="B54" s="9" t="s">
        <v>1157</v>
      </c>
      <c r="C54" s="23" t="s">
        <v>1258</v>
      </c>
      <c r="D54" s="9"/>
      <c r="E54" s="11" t="s">
        <v>1186</v>
      </c>
      <c r="F54" s="57" t="s">
        <v>533</v>
      </c>
      <c r="G54" s="1"/>
      <c r="H54" s="58"/>
      <c r="I54" s="1" t="s">
        <v>534</v>
      </c>
      <c r="J54" s="15">
        <v>25836</v>
      </c>
      <c r="K54" s="15">
        <v>42532</v>
      </c>
      <c r="L54" s="1" t="s">
        <v>66</v>
      </c>
      <c r="M54" s="1" t="s">
        <v>343</v>
      </c>
      <c r="N54" s="107" t="str">
        <f>IF(_xlfn.NUMBERVALUE(DATEDIF(J54,K54,"Y"))-Table1[[#This Row],[Κατηγορία]]&lt;0,"* Check Age *","")</f>
        <v/>
      </c>
    </row>
    <row r="55" spans="1:14" ht="18" hidden="1" customHeight="1" x14ac:dyDescent="0.2">
      <c r="A55" s="9" t="s">
        <v>1202</v>
      </c>
      <c r="B55" s="9" t="s">
        <v>1157</v>
      </c>
      <c r="C55" s="23" t="s">
        <v>1259</v>
      </c>
      <c r="D55" s="9"/>
      <c r="E55" s="11" t="s">
        <v>1186</v>
      </c>
      <c r="F55" s="57" t="s">
        <v>775</v>
      </c>
      <c r="G55" s="1"/>
      <c r="H55" s="58"/>
      <c r="I55" s="1" t="s">
        <v>534</v>
      </c>
      <c r="J55" s="15">
        <v>25836</v>
      </c>
      <c r="K55" s="15">
        <v>44352</v>
      </c>
      <c r="L55" s="1" t="s">
        <v>23</v>
      </c>
      <c r="M55" s="1" t="s">
        <v>753</v>
      </c>
      <c r="N55" s="107" t="str">
        <f>IF(_xlfn.NUMBERVALUE(DATEDIF(J55,K55,"Y"))-Table1[[#This Row],[Κατηγορία]]&lt;0,"* Check Age *","")</f>
        <v/>
      </c>
    </row>
    <row r="56" spans="1:14" ht="18" hidden="1" customHeight="1" x14ac:dyDescent="0.2">
      <c r="A56" s="9" t="s">
        <v>1202</v>
      </c>
      <c r="B56" s="9" t="s">
        <v>1157</v>
      </c>
      <c r="C56" s="23" t="s">
        <v>1260</v>
      </c>
      <c r="D56" s="9"/>
      <c r="E56" s="11" t="s">
        <v>1186</v>
      </c>
      <c r="F56" s="57" t="s">
        <v>1078</v>
      </c>
      <c r="G56" s="1"/>
      <c r="H56" s="58"/>
      <c r="I56" s="1" t="s">
        <v>538</v>
      </c>
      <c r="J56" s="15">
        <v>24543</v>
      </c>
      <c r="K56" s="15">
        <v>45479</v>
      </c>
      <c r="L56" s="1" t="s">
        <v>1026</v>
      </c>
      <c r="M56" s="1" t="s">
        <v>343</v>
      </c>
      <c r="N56" s="107" t="str">
        <f>IF(_xlfn.NUMBERVALUE(DATEDIF(J56,K56,"Y"))-Table1[[#This Row],[Κατηγορία]]&lt;0,"* Check Age *","")</f>
        <v/>
      </c>
    </row>
    <row r="57" spans="1:14" ht="18" hidden="1" customHeight="1" x14ac:dyDescent="0.2">
      <c r="A57" s="9" t="s">
        <v>1202</v>
      </c>
      <c r="B57" s="9" t="s">
        <v>1157</v>
      </c>
      <c r="C57" s="23" t="s">
        <v>1261</v>
      </c>
      <c r="D57" s="9"/>
      <c r="E57" s="11" t="s">
        <v>1186</v>
      </c>
      <c r="F57" s="57" t="s">
        <v>539</v>
      </c>
      <c r="G57" s="1"/>
      <c r="H57" s="58"/>
      <c r="I57" s="1" t="s">
        <v>543</v>
      </c>
      <c r="J57" s="15">
        <v>16444</v>
      </c>
      <c r="K57" s="23">
        <v>2006</v>
      </c>
      <c r="L57" s="1" t="s">
        <v>46</v>
      </c>
      <c r="M57" s="1" t="s">
        <v>343</v>
      </c>
      <c r="N57" s="107"/>
    </row>
    <row r="58" spans="1:14" ht="18" hidden="1" customHeight="1" x14ac:dyDescent="0.2">
      <c r="A58" s="9" t="s">
        <v>1202</v>
      </c>
      <c r="B58" s="9" t="s">
        <v>1157</v>
      </c>
      <c r="C58" s="23" t="s">
        <v>1262</v>
      </c>
      <c r="D58" s="9"/>
      <c r="E58" s="11" t="s">
        <v>1186</v>
      </c>
      <c r="F58" s="57" t="s">
        <v>540</v>
      </c>
      <c r="G58" s="1"/>
      <c r="H58" s="58"/>
      <c r="I58" s="1" t="s">
        <v>544</v>
      </c>
      <c r="J58" s="15">
        <v>13881</v>
      </c>
      <c r="K58" s="23">
        <v>2004</v>
      </c>
      <c r="L58" s="1" t="s">
        <v>71</v>
      </c>
      <c r="M58" s="1" t="s">
        <v>343</v>
      </c>
      <c r="N58" s="107"/>
    </row>
    <row r="59" spans="1:14" ht="18" hidden="1" customHeight="1" x14ac:dyDescent="0.2">
      <c r="A59" s="9" t="s">
        <v>1202</v>
      </c>
      <c r="B59" s="9" t="s">
        <v>1157</v>
      </c>
      <c r="C59" s="23" t="s">
        <v>1262</v>
      </c>
      <c r="D59" s="9"/>
      <c r="E59" s="11" t="s">
        <v>1187</v>
      </c>
      <c r="F59" s="57" t="s">
        <v>541</v>
      </c>
      <c r="G59" s="1"/>
      <c r="H59" s="58"/>
      <c r="I59" s="1" t="s">
        <v>543</v>
      </c>
      <c r="J59" s="15">
        <v>16444</v>
      </c>
      <c r="K59" s="23">
        <v>2011</v>
      </c>
      <c r="L59" s="1" t="s">
        <v>23</v>
      </c>
      <c r="M59" s="1" t="s">
        <v>343</v>
      </c>
      <c r="N59" s="107"/>
    </row>
    <row r="60" spans="1:14" ht="18" hidden="1" customHeight="1" x14ac:dyDescent="0.2">
      <c r="A60" s="9" t="s">
        <v>1202</v>
      </c>
      <c r="B60" s="9" t="s">
        <v>1157</v>
      </c>
      <c r="C60" s="23" t="s">
        <v>1263</v>
      </c>
      <c r="D60" s="9"/>
      <c r="E60" s="11" t="s">
        <v>1186</v>
      </c>
      <c r="F60" s="57" t="s">
        <v>542</v>
      </c>
      <c r="G60" s="1"/>
      <c r="H60" s="58"/>
      <c r="I60" s="1" t="s">
        <v>543</v>
      </c>
      <c r="J60" s="15">
        <v>16444</v>
      </c>
      <c r="K60" s="15">
        <v>42265</v>
      </c>
      <c r="L60" s="1" t="s">
        <v>95</v>
      </c>
      <c r="M60" s="1" t="s">
        <v>15</v>
      </c>
      <c r="N60" s="107" t="str">
        <f>IF(_xlfn.NUMBERVALUE(DATEDIF(J60,K60,"Y"))-Table1[[#This Row],[Κατηγορία]]&lt;0,"* Check Age *","")</f>
        <v/>
      </c>
    </row>
    <row r="61" spans="1:14" ht="18" hidden="1" customHeight="1" x14ac:dyDescent="0.2">
      <c r="A61" s="9" t="s">
        <v>1202</v>
      </c>
      <c r="B61" s="9" t="s">
        <v>1157</v>
      </c>
      <c r="C61" s="23" t="s">
        <v>1264</v>
      </c>
      <c r="D61" s="9"/>
      <c r="E61" s="11" t="s">
        <v>1186</v>
      </c>
      <c r="F61" s="57" t="s">
        <v>545</v>
      </c>
      <c r="G61" s="1"/>
      <c r="H61" s="58"/>
      <c r="I61" s="1" t="s">
        <v>547</v>
      </c>
      <c r="J61" s="15">
        <v>10594</v>
      </c>
      <c r="K61" s="23">
        <v>2004</v>
      </c>
      <c r="L61" s="1" t="s">
        <v>71</v>
      </c>
      <c r="M61" s="1" t="s">
        <v>343</v>
      </c>
      <c r="N61" s="107"/>
    </row>
    <row r="62" spans="1:14" ht="18" hidden="1" customHeight="1" x14ac:dyDescent="0.2">
      <c r="A62" s="9" t="s">
        <v>1202</v>
      </c>
      <c r="B62" s="9" t="s">
        <v>1157</v>
      </c>
      <c r="C62" s="23" t="s">
        <v>1264</v>
      </c>
      <c r="D62" s="9"/>
      <c r="E62" s="11" t="s">
        <v>1187</v>
      </c>
      <c r="F62" s="57" t="s">
        <v>546</v>
      </c>
      <c r="G62" s="1"/>
      <c r="H62" s="58"/>
      <c r="I62" s="1" t="s">
        <v>547</v>
      </c>
      <c r="J62" s="15">
        <v>10594</v>
      </c>
      <c r="K62" s="23">
        <v>2004</v>
      </c>
      <c r="L62" s="1" t="s">
        <v>235</v>
      </c>
      <c r="M62" s="1" t="s">
        <v>15</v>
      </c>
      <c r="N62" s="107"/>
    </row>
    <row r="63" spans="1:14" ht="18" hidden="1" customHeight="1" x14ac:dyDescent="0.2">
      <c r="A63" s="9" t="s">
        <v>1202</v>
      </c>
      <c r="B63" s="9" t="s">
        <v>1157</v>
      </c>
      <c r="C63" s="23" t="s">
        <v>1265</v>
      </c>
      <c r="D63" s="9"/>
      <c r="E63" s="11" t="s">
        <v>1186</v>
      </c>
      <c r="F63" s="57" t="s">
        <v>548</v>
      </c>
      <c r="G63" s="1"/>
      <c r="H63" s="58"/>
      <c r="I63" s="1" t="s">
        <v>286</v>
      </c>
      <c r="J63" s="15">
        <v>12394</v>
      </c>
      <c r="K63" s="23">
        <v>2013</v>
      </c>
      <c r="L63" s="1" t="s">
        <v>60</v>
      </c>
      <c r="M63" s="1" t="s">
        <v>40</v>
      </c>
      <c r="N63" s="107"/>
    </row>
    <row r="64" spans="1:14" ht="18" hidden="1" customHeight="1" x14ac:dyDescent="0.2">
      <c r="A64" s="9" t="s">
        <v>1202</v>
      </c>
      <c r="B64" s="9" t="s">
        <v>1157</v>
      </c>
      <c r="C64" s="23" t="s">
        <v>1266</v>
      </c>
      <c r="D64" s="9"/>
      <c r="E64" s="11" t="s">
        <v>1186</v>
      </c>
      <c r="F64" s="57" t="s">
        <v>1387</v>
      </c>
      <c r="G64" s="1"/>
      <c r="H64" s="58"/>
      <c r="I64" s="1" t="s">
        <v>572</v>
      </c>
      <c r="J64" s="15">
        <v>14628</v>
      </c>
      <c r="K64" s="15">
        <v>45898</v>
      </c>
      <c r="L64" s="1" t="s">
        <v>1409</v>
      </c>
      <c r="M64" s="1" t="s">
        <v>15</v>
      </c>
      <c r="N64" s="107" t="str">
        <f>IF(_xlfn.NUMBERVALUE(DATEDIF(J64,K64,"Y"))-Table1[[#This Row],[Κατηγορία]]&lt;0,"* Check Age *","")</f>
        <v/>
      </c>
    </row>
    <row r="65" spans="1:15" ht="18" hidden="1" customHeight="1" x14ac:dyDescent="0.2">
      <c r="A65" s="9" t="s">
        <v>1202</v>
      </c>
      <c r="B65" s="9" t="s">
        <v>1157</v>
      </c>
      <c r="C65" s="23">
        <v>90</v>
      </c>
      <c r="D65" s="9" t="s">
        <v>1383</v>
      </c>
      <c r="E65" s="11" t="s">
        <v>1186</v>
      </c>
      <c r="F65" s="67" t="s">
        <v>1382</v>
      </c>
      <c r="G65" s="58"/>
      <c r="H65" s="1"/>
      <c r="I65" s="1" t="s">
        <v>286</v>
      </c>
      <c r="J65" s="15">
        <v>12394</v>
      </c>
      <c r="K65" s="15">
        <v>45844</v>
      </c>
      <c r="L65" s="1" t="s">
        <v>44</v>
      </c>
      <c r="M65" s="1" t="s">
        <v>957</v>
      </c>
      <c r="N65" s="107" t="str">
        <f>IF(_xlfn.NUMBERVALUE(DATEDIF(J65,K65,"Y"))-Table1[[#This Row],[Κατηγορία]]&lt;0,"* Check Age *","")</f>
        <v/>
      </c>
    </row>
    <row r="66" spans="1:15" ht="18" hidden="1" customHeight="1" x14ac:dyDescent="0.2">
      <c r="A66" s="9" t="s">
        <v>1155</v>
      </c>
      <c r="B66" s="9" t="s">
        <v>1368</v>
      </c>
      <c r="C66" s="12" t="s">
        <v>1259</v>
      </c>
      <c r="D66" s="9" t="s">
        <v>1238</v>
      </c>
      <c r="E66" s="11" t="s">
        <v>1186</v>
      </c>
      <c r="F66" s="52" t="s">
        <v>210</v>
      </c>
      <c r="I66" t="s">
        <v>228</v>
      </c>
      <c r="J66" s="10">
        <v>16083</v>
      </c>
      <c r="K66" s="11">
        <v>1997</v>
      </c>
      <c r="L66" t="s">
        <v>211</v>
      </c>
      <c r="M66" t="s">
        <v>85</v>
      </c>
      <c r="N66" s="107"/>
    </row>
    <row r="67" spans="1:15" ht="18" hidden="1" customHeight="1" x14ac:dyDescent="0.2">
      <c r="A67" s="9" t="s">
        <v>1155</v>
      </c>
      <c r="B67" s="9" t="s">
        <v>1368</v>
      </c>
      <c r="C67" s="12" t="s">
        <v>1260</v>
      </c>
      <c r="D67" s="9" t="s">
        <v>1238</v>
      </c>
      <c r="E67" s="11" t="s">
        <v>1186</v>
      </c>
      <c r="F67" s="52" t="s">
        <v>213</v>
      </c>
      <c r="I67" t="s">
        <v>212</v>
      </c>
      <c r="J67" s="10">
        <v>13492</v>
      </c>
      <c r="K67" s="11">
        <v>1991</v>
      </c>
      <c r="L67" t="s">
        <v>168</v>
      </c>
      <c r="M67" t="s">
        <v>85</v>
      </c>
      <c r="N67" s="107"/>
    </row>
    <row r="68" spans="1:15" ht="18" hidden="1" customHeight="1" x14ac:dyDescent="0.2">
      <c r="A68" s="9" t="s">
        <v>1155</v>
      </c>
      <c r="B68" s="9" t="s">
        <v>1368</v>
      </c>
      <c r="C68" s="12" t="s">
        <v>1261</v>
      </c>
      <c r="D68" s="9" t="s">
        <v>1239</v>
      </c>
      <c r="E68" s="11" t="s">
        <v>1186</v>
      </c>
      <c r="F68" s="52" t="s">
        <v>342</v>
      </c>
      <c r="I68" t="s">
        <v>212</v>
      </c>
      <c r="J68" s="10">
        <v>13492</v>
      </c>
      <c r="K68" s="10">
        <v>35336</v>
      </c>
      <c r="L68" t="s">
        <v>44</v>
      </c>
      <c r="M68" t="s">
        <v>15</v>
      </c>
      <c r="N68" s="107"/>
    </row>
    <row r="69" spans="1:15" ht="18" hidden="1" customHeight="1" x14ac:dyDescent="0.2">
      <c r="A69" s="9" t="s">
        <v>1155</v>
      </c>
      <c r="B69" s="9" t="s">
        <v>1368</v>
      </c>
      <c r="C69" s="12" t="s">
        <v>1261</v>
      </c>
      <c r="D69" s="9" t="s">
        <v>1239</v>
      </c>
      <c r="E69" s="11" t="s">
        <v>1187</v>
      </c>
      <c r="F69" s="52" t="s">
        <v>214</v>
      </c>
      <c r="I69" t="s">
        <v>69</v>
      </c>
      <c r="J69" s="10">
        <v>19231</v>
      </c>
      <c r="K69" s="11">
        <v>2013</v>
      </c>
      <c r="L69" t="s">
        <v>215</v>
      </c>
      <c r="M69" t="s">
        <v>15</v>
      </c>
      <c r="N69" s="107"/>
    </row>
    <row r="70" spans="1:15" ht="18" hidden="1" customHeight="1" x14ac:dyDescent="0.2">
      <c r="A70" s="9" t="s">
        <v>1155</v>
      </c>
      <c r="B70" s="9" t="s">
        <v>1368</v>
      </c>
      <c r="C70" s="12" t="s">
        <v>1262</v>
      </c>
      <c r="D70" s="9" t="s">
        <v>1239</v>
      </c>
      <c r="E70" s="11" t="s">
        <v>1186</v>
      </c>
      <c r="F70" s="52" t="s">
        <v>216</v>
      </c>
      <c r="I70" t="s">
        <v>212</v>
      </c>
      <c r="J70" s="10">
        <v>13492</v>
      </c>
      <c r="K70" s="11">
        <v>2002</v>
      </c>
      <c r="L70" t="s">
        <v>217</v>
      </c>
      <c r="M70" t="s">
        <v>79</v>
      </c>
      <c r="N70" s="107"/>
    </row>
    <row r="71" spans="1:15" ht="18" hidden="1" customHeight="1" x14ac:dyDescent="0.2">
      <c r="A71" s="9" t="s">
        <v>1202</v>
      </c>
      <c r="B71" s="9" t="s">
        <v>1368</v>
      </c>
      <c r="C71" s="23" t="s">
        <v>1256</v>
      </c>
      <c r="D71" s="9" t="s">
        <v>1239</v>
      </c>
      <c r="E71" s="11" t="s">
        <v>1186</v>
      </c>
      <c r="F71" s="57" t="s">
        <v>605</v>
      </c>
      <c r="G71" s="1"/>
      <c r="H71" s="58"/>
      <c r="I71" s="1" t="s">
        <v>606</v>
      </c>
      <c r="J71" s="15">
        <v>27609</v>
      </c>
      <c r="K71" s="15">
        <v>40327</v>
      </c>
      <c r="L71" s="1" t="s">
        <v>607</v>
      </c>
      <c r="M71" s="1" t="s">
        <v>155</v>
      </c>
      <c r="N71" s="107" t="str">
        <f>IF(_xlfn.NUMBERVALUE(DATEDIF(J71,K71,"Y"))-Table1[[#This Row],[Κατηγορία]]&lt;0,CONCATENATE("* Check Age = ",TEXT(DATEDIF(J71,K71,"Y"),"00"),"*"),"")</f>
        <v>* Check Age = 34*</v>
      </c>
      <c r="O71" t="s">
        <v>1427</v>
      </c>
    </row>
    <row r="72" spans="1:15" ht="18" hidden="1" customHeight="1" x14ac:dyDescent="0.2">
      <c r="A72" s="9" t="s">
        <v>1155</v>
      </c>
      <c r="B72" s="9" t="s">
        <v>1164</v>
      </c>
      <c r="C72" s="12" t="s">
        <v>1256</v>
      </c>
      <c r="D72" s="9" t="s">
        <v>712</v>
      </c>
      <c r="E72" s="11" t="s">
        <v>1186</v>
      </c>
      <c r="F72" s="52" t="s">
        <v>966</v>
      </c>
      <c r="H72" s="11" t="s">
        <v>25</v>
      </c>
      <c r="I72" t="s">
        <v>815</v>
      </c>
      <c r="J72" s="10">
        <v>31846</v>
      </c>
      <c r="K72" s="10">
        <v>45115</v>
      </c>
      <c r="L72" t="s">
        <v>46</v>
      </c>
      <c r="M72" t="s">
        <v>155</v>
      </c>
      <c r="N72" s="107" t="str">
        <f>IF(_xlfn.NUMBERVALUE(DATEDIF(J72,K72,"Y"))-Table1[[#This Row],[Κατηγορία]]&lt;0,"* Check Age *","")</f>
        <v/>
      </c>
    </row>
    <row r="73" spans="1:15" ht="18" hidden="1" customHeight="1" x14ac:dyDescent="0.2">
      <c r="A73" s="9" t="s">
        <v>1155</v>
      </c>
      <c r="B73" s="9" t="s">
        <v>1164</v>
      </c>
      <c r="C73" s="12" t="s">
        <v>1257</v>
      </c>
      <c r="D73" s="9" t="s">
        <v>1237</v>
      </c>
      <c r="E73" s="11" t="s">
        <v>1186</v>
      </c>
      <c r="F73" s="52" t="s">
        <v>767</v>
      </c>
      <c r="I73" t="s">
        <v>228</v>
      </c>
      <c r="J73" s="10">
        <v>16083</v>
      </c>
      <c r="K73" s="11">
        <v>1986</v>
      </c>
      <c r="L73" t="s">
        <v>766</v>
      </c>
      <c r="M73" t="s">
        <v>79</v>
      </c>
      <c r="N73" s="107"/>
    </row>
    <row r="74" spans="1:15" ht="18" hidden="1" customHeight="1" x14ac:dyDescent="0.2">
      <c r="A74" s="9" t="s">
        <v>1155</v>
      </c>
      <c r="B74" s="9" t="s">
        <v>1164</v>
      </c>
      <c r="C74" s="12" t="s">
        <v>1257</v>
      </c>
      <c r="D74" s="9" t="s">
        <v>1237</v>
      </c>
      <c r="E74" s="11" t="s">
        <v>1187</v>
      </c>
      <c r="F74" s="52" t="s">
        <v>206</v>
      </c>
      <c r="H74" s="91"/>
      <c r="I74" t="s">
        <v>228</v>
      </c>
      <c r="J74" s="10">
        <v>16083</v>
      </c>
      <c r="K74" s="11">
        <v>1986</v>
      </c>
      <c r="L74" t="s">
        <v>44</v>
      </c>
      <c r="N74" s="107"/>
    </row>
    <row r="75" spans="1:15" ht="18" hidden="1" customHeight="1" x14ac:dyDescent="0.2">
      <c r="A75" s="9" t="s">
        <v>1155</v>
      </c>
      <c r="B75" s="9" t="s">
        <v>1164</v>
      </c>
      <c r="C75" s="12" t="s">
        <v>1258</v>
      </c>
      <c r="D75" s="9" t="s">
        <v>1237</v>
      </c>
      <c r="E75" s="11" t="s">
        <v>1186</v>
      </c>
      <c r="F75" s="52" t="s">
        <v>207</v>
      </c>
      <c r="I75" t="s">
        <v>228</v>
      </c>
      <c r="J75" s="10">
        <v>16083</v>
      </c>
      <c r="L75" t="s">
        <v>208</v>
      </c>
      <c r="M75" t="s">
        <v>85</v>
      </c>
      <c r="N75" s="107"/>
    </row>
    <row r="76" spans="1:15" ht="18" hidden="1" customHeight="1" x14ac:dyDescent="0.2">
      <c r="A76" s="9" t="s">
        <v>1155</v>
      </c>
      <c r="B76" s="9" t="s">
        <v>1164</v>
      </c>
      <c r="C76" s="12" t="s">
        <v>1258</v>
      </c>
      <c r="D76" s="9" t="s">
        <v>1237</v>
      </c>
      <c r="E76" s="11" t="s">
        <v>1187</v>
      </c>
      <c r="F76" s="52" t="s">
        <v>209</v>
      </c>
      <c r="I76" t="s">
        <v>228</v>
      </c>
      <c r="J76" s="10">
        <v>16083</v>
      </c>
      <c r="K76" s="11">
        <v>1990</v>
      </c>
      <c r="L76" t="s">
        <v>57</v>
      </c>
      <c r="N76" s="107"/>
    </row>
    <row r="77" spans="1:15" ht="18" hidden="1" customHeight="1" x14ac:dyDescent="0.2">
      <c r="A77" s="9" t="s">
        <v>1155</v>
      </c>
      <c r="B77" s="9" t="s">
        <v>1160</v>
      </c>
      <c r="C77" s="12" t="s">
        <v>1256</v>
      </c>
      <c r="D77" s="9"/>
      <c r="E77" s="11" t="s">
        <v>1186</v>
      </c>
      <c r="F77" s="52" t="s">
        <v>128</v>
      </c>
      <c r="I77" t="s">
        <v>105</v>
      </c>
      <c r="J77" s="10">
        <v>19810</v>
      </c>
      <c r="K77" s="11">
        <v>1989</v>
      </c>
      <c r="L77" t="s">
        <v>44</v>
      </c>
      <c r="N77" s="107"/>
    </row>
    <row r="78" spans="1:15" ht="18" hidden="1" customHeight="1" x14ac:dyDescent="0.2">
      <c r="A78" s="9" t="s">
        <v>1155</v>
      </c>
      <c r="B78" s="9" t="s">
        <v>1160</v>
      </c>
      <c r="C78" s="12" t="s">
        <v>1257</v>
      </c>
      <c r="D78" s="9"/>
      <c r="E78" s="11" t="s">
        <v>1186</v>
      </c>
      <c r="F78" s="52" t="s">
        <v>301</v>
      </c>
      <c r="I78" s="1" t="s">
        <v>195</v>
      </c>
      <c r="J78" s="54">
        <v>27556</v>
      </c>
      <c r="K78" s="54">
        <v>42876</v>
      </c>
      <c r="L78" s="1" t="s">
        <v>302</v>
      </c>
      <c r="M78" t="s">
        <v>303</v>
      </c>
      <c r="N78" s="107" t="str">
        <f>IF(_xlfn.NUMBERVALUE(DATEDIF(J78,K78,"Y"))-Table1[[#This Row],[Κατηγορία]]&lt;0,"* Check Age *","")</f>
        <v/>
      </c>
    </row>
    <row r="79" spans="1:15" ht="18" hidden="1" customHeight="1" x14ac:dyDescent="0.2">
      <c r="A79" s="9" t="s">
        <v>1155</v>
      </c>
      <c r="B79" s="9" t="s">
        <v>1160</v>
      </c>
      <c r="C79" s="12" t="s">
        <v>1258</v>
      </c>
      <c r="D79" s="9"/>
      <c r="E79" s="11" t="s">
        <v>1186</v>
      </c>
      <c r="F79" s="55" t="s">
        <v>823</v>
      </c>
      <c r="G79" s="56"/>
      <c r="H79" s="91"/>
      <c r="I79" t="s">
        <v>129</v>
      </c>
      <c r="J79" s="10">
        <v>27181</v>
      </c>
      <c r="K79" s="10">
        <v>44710</v>
      </c>
      <c r="L79" t="s">
        <v>824</v>
      </c>
      <c r="M79" t="s">
        <v>825</v>
      </c>
      <c r="N79" s="107" t="str">
        <f>IF(_xlfn.NUMBERVALUE(DATEDIF(J79,K79,"Y"))-Table1[[#This Row],[Κατηγορία]]&lt;0,"* Check Age *","")</f>
        <v/>
      </c>
    </row>
    <row r="80" spans="1:15" ht="18" hidden="1" customHeight="1" x14ac:dyDescent="0.2">
      <c r="A80" s="9" t="s">
        <v>1155</v>
      </c>
      <c r="B80" s="9" t="s">
        <v>1160</v>
      </c>
      <c r="C80" s="12" t="s">
        <v>1259</v>
      </c>
      <c r="D80" s="9"/>
      <c r="E80" s="11" t="s">
        <v>1186</v>
      </c>
      <c r="F80" s="52" t="s">
        <v>1114</v>
      </c>
      <c r="I80" t="s">
        <v>129</v>
      </c>
      <c r="J80" s="10">
        <v>27181</v>
      </c>
      <c r="K80" s="54">
        <v>45563</v>
      </c>
      <c r="L80" s="1" t="s">
        <v>1101</v>
      </c>
      <c r="M80" s="1" t="s">
        <v>15</v>
      </c>
      <c r="N80" s="107" t="str">
        <f>IF(_xlfn.NUMBERVALUE(DATEDIF(J80,K80,"Y"))-Table1[[#This Row],[Κατηγορία]]&lt;0,"* Check Age *","")</f>
        <v/>
      </c>
    </row>
    <row r="81" spans="1:15" ht="18" hidden="1" customHeight="1" x14ac:dyDescent="0.2">
      <c r="A81" s="9" t="s">
        <v>1155</v>
      </c>
      <c r="B81" s="9" t="s">
        <v>1160</v>
      </c>
      <c r="C81" s="12" t="s">
        <v>1260</v>
      </c>
      <c r="D81" s="9"/>
      <c r="E81" s="11" t="s">
        <v>1186</v>
      </c>
      <c r="F81" s="52" t="s">
        <v>826</v>
      </c>
      <c r="I81" t="s">
        <v>1066</v>
      </c>
      <c r="J81" s="10">
        <v>24440</v>
      </c>
      <c r="K81" s="10">
        <v>44710</v>
      </c>
      <c r="L81" t="s">
        <v>824</v>
      </c>
      <c r="M81" t="s">
        <v>825</v>
      </c>
      <c r="N81" s="107" t="str">
        <f>IF(_xlfn.NUMBERVALUE(DATEDIF(J81,K81,"Y"))-Table1[[#This Row],[Κατηγορία]]&lt;0,"* Check Age *","")</f>
        <v/>
      </c>
    </row>
    <row r="82" spans="1:15" ht="18" hidden="1" customHeight="1" x14ac:dyDescent="0.2">
      <c r="A82" s="9" t="s">
        <v>1155</v>
      </c>
      <c r="B82" s="9" t="s">
        <v>1160</v>
      </c>
      <c r="C82" s="12" t="s">
        <v>1261</v>
      </c>
      <c r="D82" s="9"/>
      <c r="E82" s="11" t="s">
        <v>1186</v>
      </c>
      <c r="F82" s="52" t="s">
        <v>134</v>
      </c>
      <c r="I82" t="s">
        <v>135</v>
      </c>
      <c r="J82" s="11">
        <v>1942</v>
      </c>
      <c r="K82" s="11">
        <v>2004</v>
      </c>
      <c r="L82" t="s">
        <v>44</v>
      </c>
      <c r="N82" s="107"/>
    </row>
    <row r="83" spans="1:15" ht="18" hidden="1" customHeight="1" x14ac:dyDescent="0.2">
      <c r="A83" s="9" t="s">
        <v>1155</v>
      </c>
      <c r="B83" s="9" t="s">
        <v>1160</v>
      </c>
      <c r="C83" s="12" t="s">
        <v>1262</v>
      </c>
      <c r="D83" s="9"/>
      <c r="E83" s="11" t="s">
        <v>1186</v>
      </c>
      <c r="F83" s="52" t="s">
        <v>136</v>
      </c>
      <c r="I83" t="s">
        <v>116</v>
      </c>
      <c r="J83" s="10">
        <v>12913</v>
      </c>
      <c r="K83" s="11">
        <v>1999</v>
      </c>
      <c r="L83" t="s">
        <v>122</v>
      </c>
      <c r="M83" t="s">
        <v>40</v>
      </c>
      <c r="N83" s="107"/>
    </row>
    <row r="84" spans="1:15" ht="18" hidden="1" customHeight="1" x14ac:dyDescent="0.2">
      <c r="A84" s="9" t="s">
        <v>1155</v>
      </c>
      <c r="B84" s="9" t="s">
        <v>1160</v>
      </c>
      <c r="C84" s="12" t="s">
        <v>1263</v>
      </c>
      <c r="D84" s="9"/>
      <c r="E84" s="11" t="s">
        <v>1186</v>
      </c>
      <c r="F84" s="52" t="s">
        <v>1270</v>
      </c>
      <c r="I84" t="s">
        <v>162</v>
      </c>
      <c r="J84" s="10">
        <v>20038</v>
      </c>
      <c r="K84" s="10">
        <v>45808</v>
      </c>
      <c r="L84" t="s">
        <v>106</v>
      </c>
      <c r="M84" t="s">
        <v>1271</v>
      </c>
      <c r="N84" s="107" t="str">
        <f>IF(_xlfn.NUMBERVALUE(DATEDIF(J84,K84,"Y"))-Table1[[#This Row],[Κατηγορία]]&lt;0,"* Check Age *","")</f>
        <v/>
      </c>
    </row>
    <row r="85" spans="1:15" ht="18" hidden="1" customHeight="1" x14ac:dyDescent="0.2">
      <c r="A85" s="9" t="s">
        <v>1155</v>
      </c>
      <c r="B85" s="9" t="s">
        <v>1160</v>
      </c>
      <c r="C85" s="12" t="s">
        <v>1264</v>
      </c>
      <c r="D85" s="9"/>
      <c r="E85" s="11" t="s">
        <v>1186</v>
      </c>
      <c r="F85" s="52" t="s">
        <v>138</v>
      </c>
      <c r="I85" t="s">
        <v>94</v>
      </c>
      <c r="J85" s="10">
        <v>16073</v>
      </c>
      <c r="K85" s="10">
        <v>43631</v>
      </c>
      <c r="L85" t="s">
        <v>122</v>
      </c>
      <c r="M85" t="s">
        <v>40</v>
      </c>
      <c r="N85" s="107" t="str">
        <f>IF(_xlfn.NUMBERVALUE(DATEDIF(J85,K85,"Y"))-Table1[[#This Row],[Κατηγορία]]&lt;0,"* Check Age *","")</f>
        <v/>
      </c>
    </row>
    <row r="86" spans="1:15" ht="18" hidden="1" customHeight="1" x14ac:dyDescent="0.2">
      <c r="A86" s="9" t="s">
        <v>1155</v>
      </c>
      <c r="B86" s="9" t="s">
        <v>1160</v>
      </c>
      <c r="C86" s="12" t="s">
        <v>1265</v>
      </c>
      <c r="D86" s="9"/>
      <c r="E86" s="11" t="s">
        <v>1186</v>
      </c>
      <c r="F86" s="52" t="s">
        <v>139</v>
      </c>
      <c r="I86" t="s">
        <v>124</v>
      </c>
      <c r="J86" s="10">
        <v>5706</v>
      </c>
      <c r="K86" s="11">
        <v>1995</v>
      </c>
      <c r="L86" t="s">
        <v>44</v>
      </c>
      <c r="N86" s="107"/>
    </row>
    <row r="87" spans="1:15" ht="18" hidden="1" customHeight="1" x14ac:dyDescent="0.2">
      <c r="A87" s="9" t="s">
        <v>1155</v>
      </c>
      <c r="B87" s="9" t="s">
        <v>1160</v>
      </c>
      <c r="C87" s="12" t="s">
        <v>1265</v>
      </c>
      <c r="D87" s="9"/>
      <c r="E87" s="11" t="s">
        <v>1187</v>
      </c>
      <c r="F87" s="52" t="s">
        <v>869</v>
      </c>
      <c r="I87" t="s">
        <v>124</v>
      </c>
      <c r="J87" s="10">
        <v>5706</v>
      </c>
      <c r="K87" s="10">
        <v>34902</v>
      </c>
      <c r="L87" t="s">
        <v>231</v>
      </c>
      <c r="M87" t="s">
        <v>85</v>
      </c>
      <c r="N87" s="107" t="str">
        <f>IF(_xlfn.NUMBERVALUE(DATEDIF(J87,K87,"Y"))-Table1[[#This Row],[Κατηγορία]]&lt;0,CONCATENATE("* Check Age = ",TEXT(DATEDIF(J87,K87,"Y"),"00"),"*"),"")</f>
        <v>* Check Age = 79*</v>
      </c>
      <c r="O87" t="s">
        <v>1427</v>
      </c>
    </row>
    <row r="88" spans="1:15" ht="18" hidden="1" customHeight="1" x14ac:dyDescent="0.2">
      <c r="A88" s="9" t="s">
        <v>1155</v>
      </c>
      <c r="B88" s="9" t="s">
        <v>1160</v>
      </c>
      <c r="C88" s="12" t="s">
        <v>1266</v>
      </c>
      <c r="D88" s="9"/>
      <c r="E88" s="11" t="s">
        <v>1186</v>
      </c>
      <c r="F88" s="52" t="s">
        <v>754</v>
      </c>
      <c r="I88" t="s">
        <v>100</v>
      </c>
      <c r="J88" s="10">
        <v>12320</v>
      </c>
      <c r="K88" s="10">
        <v>43729</v>
      </c>
      <c r="L88" t="s">
        <v>35</v>
      </c>
      <c r="M88" t="s">
        <v>15</v>
      </c>
      <c r="N88" s="107" t="str">
        <f>IF(_xlfn.NUMBERVALUE(DATEDIF(J88,K88,"Y"))-Table1[[#This Row],[Κατηγορία]]&lt;0,"* Check Age *","")</f>
        <v/>
      </c>
    </row>
    <row r="89" spans="1:15" ht="18" hidden="1" customHeight="1" x14ac:dyDescent="0.2">
      <c r="A89" s="9" t="s">
        <v>1155</v>
      </c>
      <c r="B89" s="9" t="s">
        <v>1160</v>
      </c>
      <c r="C89" s="12" t="s">
        <v>1267</v>
      </c>
      <c r="D89" s="9"/>
      <c r="E89" s="11" t="s">
        <v>1186</v>
      </c>
      <c r="F89" s="52" t="s">
        <v>1407</v>
      </c>
      <c r="I89" t="s">
        <v>100</v>
      </c>
      <c r="J89" s="10">
        <v>12320</v>
      </c>
      <c r="K89" s="54">
        <v>45900</v>
      </c>
      <c r="L89" s="1" t="s">
        <v>1409</v>
      </c>
      <c r="M89" s="1" t="s">
        <v>15</v>
      </c>
      <c r="N89" s="107" t="str">
        <f>IF(_xlfn.NUMBERVALUE(DATEDIF(J89,K89,"Y"))-Table1[[#This Row],[Κατηγορία]]&lt;0,"* Check Age *","")</f>
        <v/>
      </c>
    </row>
    <row r="90" spans="1:15" ht="18" hidden="1" customHeight="1" x14ac:dyDescent="0.2">
      <c r="A90" s="9" t="s">
        <v>1202</v>
      </c>
      <c r="B90" s="9" t="s">
        <v>1160</v>
      </c>
      <c r="C90" s="23" t="s">
        <v>1256</v>
      </c>
      <c r="D90" s="9"/>
      <c r="E90" s="11" t="s">
        <v>1186</v>
      </c>
      <c r="F90" s="57" t="s">
        <v>579</v>
      </c>
      <c r="G90" s="1"/>
      <c r="H90" s="58"/>
      <c r="I90" s="1" t="s">
        <v>574</v>
      </c>
      <c r="J90" s="15">
        <v>27378</v>
      </c>
      <c r="K90" s="15">
        <v>41426</v>
      </c>
      <c r="L90" s="1" t="s">
        <v>67</v>
      </c>
      <c r="M90" s="1" t="s">
        <v>97</v>
      </c>
      <c r="N90" s="107" t="str">
        <f>IF(_xlfn.NUMBERVALUE(DATEDIF(J90,K90,"Y"))-Table1[[#This Row],[Κατηγορία]]&lt;0,"* Check Age *","")</f>
        <v/>
      </c>
    </row>
    <row r="91" spans="1:15" ht="18" hidden="1" customHeight="1" x14ac:dyDescent="0.2">
      <c r="A91" s="9" t="s">
        <v>1202</v>
      </c>
      <c r="B91" s="9" t="s">
        <v>1160</v>
      </c>
      <c r="C91" s="23" t="s">
        <v>1257</v>
      </c>
      <c r="D91" s="9"/>
      <c r="E91" s="11" t="s">
        <v>1186</v>
      </c>
      <c r="F91" s="57" t="s">
        <v>275</v>
      </c>
      <c r="G91" s="1"/>
      <c r="H91" s="58"/>
      <c r="I91" s="1" t="s">
        <v>999</v>
      </c>
      <c r="J91" s="15">
        <v>27948</v>
      </c>
      <c r="K91" s="15">
        <v>43285</v>
      </c>
      <c r="L91" s="1" t="s">
        <v>276</v>
      </c>
      <c r="M91" s="1" t="s">
        <v>282</v>
      </c>
      <c r="N91" s="107" t="str">
        <f>IF(_xlfn.NUMBERVALUE(DATEDIF(J91,K91,"Y"))-Table1[[#This Row],[Κατηγορία]]&lt;0,"* Check Age *","")</f>
        <v/>
      </c>
    </row>
    <row r="92" spans="1:15" ht="18" hidden="1" customHeight="1" x14ac:dyDescent="0.2">
      <c r="A92" s="9" t="s">
        <v>1202</v>
      </c>
      <c r="B92" s="9" t="s">
        <v>1160</v>
      </c>
      <c r="C92" s="23" t="s">
        <v>1258</v>
      </c>
      <c r="D92" s="9"/>
      <c r="E92" s="11" t="s">
        <v>1186</v>
      </c>
      <c r="F92" s="67" t="s">
        <v>580</v>
      </c>
      <c r="G92" s="68"/>
      <c r="H92" s="92"/>
      <c r="I92" s="1" t="s">
        <v>576</v>
      </c>
      <c r="J92" s="15">
        <v>26963</v>
      </c>
      <c r="K92" s="23">
        <v>2019</v>
      </c>
      <c r="L92" s="1" t="s">
        <v>95</v>
      </c>
      <c r="M92" s="1"/>
      <c r="N92" s="107"/>
    </row>
    <row r="93" spans="1:15" ht="18" hidden="1" customHeight="1" x14ac:dyDescent="0.2">
      <c r="A93" s="9" t="s">
        <v>1202</v>
      </c>
      <c r="B93" s="9" t="s">
        <v>1160</v>
      </c>
      <c r="C93" s="23" t="s">
        <v>1259</v>
      </c>
      <c r="D93" s="9"/>
      <c r="E93" s="11" t="s">
        <v>1186</v>
      </c>
      <c r="F93" s="57" t="s">
        <v>770</v>
      </c>
      <c r="G93" s="1"/>
      <c r="H93" s="58"/>
      <c r="I93" s="1" t="s">
        <v>761</v>
      </c>
      <c r="J93" s="15">
        <v>25334</v>
      </c>
      <c r="K93" s="15">
        <v>44324</v>
      </c>
      <c r="L93" s="1" t="s">
        <v>86</v>
      </c>
      <c r="M93" s="1" t="s">
        <v>308</v>
      </c>
      <c r="N93" s="107" t="str">
        <f>IF(_xlfn.NUMBERVALUE(DATEDIF(J93,K93,"Y"))-Table1[[#This Row],[Κατηγορία]]&lt;0,"* Check Age *","")</f>
        <v/>
      </c>
    </row>
    <row r="94" spans="1:15" ht="18" hidden="1" customHeight="1" x14ac:dyDescent="0.2">
      <c r="A94" s="9" t="s">
        <v>1202</v>
      </c>
      <c r="B94" s="9" t="s">
        <v>1160</v>
      </c>
      <c r="C94" s="23" t="s">
        <v>1260</v>
      </c>
      <c r="D94" s="9"/>
      <c r="E94" s="11" t="s">
        <v>1186</v>
      </c>
      <c r="F94" s="57" t="s">
        <v>1356</v>
      </c>
      <c r="G94" s="1"/>
      <c r="H94" s="58"/>
      <c r="I94" s="1" t="s">
        <v>941</v>
      </c>
      <c r="J94" s="15">
        <v>25631</v>
      </c>
      <c r="K94" s="15">
        <v>45843</v>
      </c>
      <c r="L94" s="1" t="s">
        <v>670</v>
      </c>
      <c r="M94" s="1" t="s">
        <v>753</v>
      </c>
      <c r="N94" s="107" t="str">
        <f>IF(_xlfn.NUMBERVALUE(DATEDIF(J94,K94,"Y"))-Table1[[#This Row],[Κατηγορία]]&lt;0,"* Check Age *","")</f>
        <v/>
      </c>
    </row>
    <row r="95" spans="1:15" ht="18" hidden="1" customHeight="1" x14ac:dyDescent="0.2">
      <c r="A95" s="9" t="s">
        <v>1202</v>
      </c>
      <c r="B95" s="9" t="s">
        <v>1160</v>
      </c>
      <c r="C95" s="23" t="s">
        <v>1261</v>
      </c>
      <c r="D95" s="9"/>
      <c r="E95" s="11" t="s">
        <v>1186</v>
      </c>
      <c r="F95" s="57" t="s">
        <v>581</v>
      </c>
      <c r="G95" s="1"/>
      <c r="H95" s="58"/>
      <c r="I95" s="1" t="s">
        <v>551</v>
      </c>
      <c r="J95" s="15">
        <v>16062</v>
      </c>
      <c r="K95" s="23">
        <v>2008</v>
      </c>
      <c r="L95" s="1" t="s">
        <v>44</v>
      </c>
      <c r="M95" s="1"/>
      <c r="N95" s="107"/>
    </row>
    <row r="96" spans="1:15" ht="18" hidden="1" customHeight="1" x14ac:dyDescent="0.2">
      <c r="A96" s="9" t="s">
        <v>1202</v>
      </c>
      <c r="B96" s="9" t="s">
        <v>1160</v>
      </c>
      <c r="C96" s="23" t="s">
        <v>1262</v>
      </c>
      <c r="D96" s="9"/>
      <c r="E96" s="11" t="s">
        <v>1186</v>
      </c>
      <c r="F96" s="57" t="s">
        <v>762</v>
      </c>
      <c r="G96" s="1"/>
      <c r="H96" s="58"/>
      <c r="I96" s="1" t="s">
        <v>763</v>
      </c>
      <c r="J96" s="15">
        <v>19869</v>
      </c>
      <c r="K96" s="15">
        <v>44115</v>
      </c>
      <c r="L96" s="1" t="s">
        <v>95</v>
      </c>
      <c r="M96" s="1"/>
      <c r="N96" s="107" t="str">
        <f>IF(_xlfn.NUMBERVALUE(DATEDIF(J96,K96,"Y"))-Table1[[#This Row],[Κατηγορία]]&lt;0,"* Check Age *","")</f>
        <v/>
      </c>
    </row>
    <row r="97" spans="1:15" ht="18" hidden="1" customHeight="1" x14ac:dyDescent="0.2">
      <c r="A97" s="9" t="s">
        <v>1202</v>
      </c>
      <c r="B97" s="9" t="s">
        <v>1160</v>
      </c>
      <c r="C97" s="23" t="s">
        <v>1263</v>
      </c>
      <c r="D97" s="9"/>
      <c r="E97" s="11" t="s">
        <v>1186</v>
      </c>
      <c r="F97" s="57" t="s">
        <v>1025</v>
      </c>
      <c r="G97" s="1"/>
      <c r="H97" s="58"/>
      <c r="I97" s="1" t="s">
        <v>1018</v>
      </c>
      <c r="J97" s="15">
        <v>19738</v>
      </c>
      <c r="K97" s="15">
        <v>45389</v>
      </c>
      <c r="L97" s="1" t="s">
        <v>1026</v>
      </c>
      <c r="M97" s="1" t="s">
        <v>300</v>
      </c>
      <c r="N97" s="107" t="str">
        <f>IF(_xlfn.NUMBERVALUE(DATEDIF(J97,K97,"Y"))-Table1[[#This Row],[Κατηγορία]]&lt;0,"* Check Age *","")</f>
        <v/>
      </c>
    </row>
    <row r="98" spans="1:15" ht="18" hidden="1" customHeight="1" x14ac:dyDescent="0.2">
      <c r="A98" s="9" t="s">
        <v>1202</v>
      </c>
      <c r="B98" s="9" t="s">
        <v>1160</v>
      </c>
      <c r="C98" s="23" t="s">
        <v>1265</v>
      </c>
      <c r="D98" s="9"/>
      <c r="E98" s="11" t="s">
        <v>1186</v>
      </c>
      <c r="F98" s="57" t="s">
        <v>832</v>
      </c>
      <c r="G98" s="1"/>
      <c r="H98" s="58"/>
      <c r="I98" s="1" t="s">
        <v>572</v>
      </c>
      <c r="J98" s="15">
        <v>14628</v>
      </c>
      <c r="K98" s="15">
        <v>44749</v>
      </c>
      <c r="L98" s="1" t="s">
        <v>829</v>
      </c>
      <c r="M98" s="1" t="s">
        <v>85</v>
      </c>
      <c r="N98" s="107" t="str">
        <f>IF(_xlfn.NUMBERVALUE(DATEDIF(J98,K98,"Y"))-Table1[[#This Row],[Κατηγορία]]&lt;0,"* Check Age *","")</f>
        <v/>
      </c>
    </row>
    <row r="99" spans="1:15" ht="18" hidden="1" customHeight="1" x14ac:dyDescent="0.2">
      <c r="A99" s="9" t="s">
        <v>1202</v>
      </c>
      <c r="B99" s="9" t="s">
        <v>1160</v>
      </c>
      <c r="C99" s="23">
        <v>90</v>
      </c>
      <c r="D99" s="9"/>
      <c r="E99" s="11" t="s">
        <v>1186</v>
      </c>
      <c r="F99" s="67" t="s">
        <v>1386</v>
      </c>
      <c r="G99" s="1"/>
      <c r="H99" s="1"/>
      <c r="I99" s="1" t="s">
        <v>286</v>
      </c>
      <c r="J99" s="15">
        <v>12394</v>
      </c>
      <c r="K99" s="15">
        <v>45844</v>
      </c>
      <c r="L99" s="1" t="s">
        <v>44</v>
      </c>
      <c r="M99" s="1" t="s">
        <v>957</v>
      </c>
      <c r="N99" s="107" t="str">
        <f>IF(_xlfn.NUMBERVALUE(DATEDIF(J99,K99,"Y"))-Table1[[#This Row],[Κατηγορία]]&lt;0,"* Check Age *","")</f>
        <v/>
      </c>
      <c r="O99" s="12"/>
    </row>
    <row r="100" spans="1:15" ht="18" hidden="1" customHeight="1" x14ac:dyDescent="0.2">
      <c r="A100" s="9" t="s">
        <v>1155</v>
      </c>
      <c r="B100" s="9" t="s">
        <v>1174</v>
      </c>
      <c r="C100" s="12" t="s">
        <v>1256</v>
      </c>
      <c r="D100" s="9"/>
      <c r="E100" s="11" t="s">
        <v>1186</v>
      </c>
      <c r="F100" s="52" t="s">
        <v>1115</v>
      </c>
      <c r="G100" s="61"/>
      <c r="H100" s="64"/>
      <c r="I100" t="s">
        <v>1017</v>
      </c>
      <c r="J100" s="10">
        <v>32404</v>
      </c>
      <c r="K100" s="10">
        <v>45367</v>
      </c>
      <c r="L100" s="61" t="s">
        <v>1019</v>
      </c>
      <c r="M100" s="61" t="s">
        <v>1020</v>
      </c>
      <c r="N100" s="107" t="str">
        <f>IF(_xlfn.NUMBERVALUE(DATEDIF(J100,K100,"Y"))-Table1[[#This Row],[Κατηγορία]]&lt;0,"* Check Age *","")</f>
        <v/>
      </c>
    </row>
    <row r="101" spans="1:15" ht="18" hidden="1" customHeight="1" x14ac:dyDescent="0.2">
      <c r="A101" s="9" t="s">
        <v>1155</v>
      </c>
      <c r="B101" s="9" t="s">
        <v>1174</v>
      </c>
      <c r="C101" s="12" t="s">
        <v>1257</v>
      </c>
      <c r="D101" s="9"/>
      <c r="E101" s="11" t="s">
        <v>1186</v>
      </c>
      <c r="F101" s="52" t="s">
        <v>370</v>
      </c>
      <c r="G101" s="61"/>
      <c r="H101" s="64"/>
      <c r="I101" s="61" t="s">
        <v>374</v>
      </c>
      <c r="J101" s="11">
        <v>1964</v>
      </c>
      <c r="K101" s="11">
        <v>2004</v>
      </c>
      <c r="L101" s="61" t="s">
        <v>44</v>
      </c>
      <c r="M101" s="61"/>
      <c r="N101" s="107"/>
    </row>
    <row r="102" spans="1:15" ht="18" hidden="1" customHeight="1" x14ac:dyDescent="0.2">
      <c r="A102" s="9" t="s">
        <v>1155</v>
      </c>
      <c r="B102" s="9" t="s">
        <v>1174</v>
      </c>
      <c r="C102" s="12" t="s">
        <v>1258</v>
      </c>
      <c r="D102" s="9"/>
      <c r="E102" s="11" t="s">
        <v>1186</v>
      </c>
      <c r="F102" s="52" t="s">
        <v>371</v>
      </c>
      <c r="G102" s="61"/>
      <c r="H102" s="64"/>
      <c r="I102" t="s">
        <v>345</v>
      </c>
      <c r="J102" s="10">
        <v>19482</v>
      </c>
      <c r="K102" s="10">
        <v>36674</v>
      </c>
      <c r="L102" s="61" t="s">
        <v>44</v>
      </c>
      <c r="M102" s="61" t="s">
        <v>155</v>
      </c>
      <c r="N102" s="107" t="str">
        <f>IF(_xlfn.NUMBERVALUE(DATEDIF(J102,K102,"Y"))-Table1[[#This Row],[Κατηγορία]]&lt;0,"* Check Age *","")</f>
        <v/>
      </c>
    </row>
    <row r="103" spans="1:15" ht="18" hidden="1" customHeight="1" x14ac:dyDescent="0.2">
      <c r="A103" s="9" t="s">
        <v>1155</v>
      </c>
      <c r="B103" s="9" t="s">
        <v>1174</v>
      </c>
      <c r="C103" s="12" t="s">
        <v>1259</v>
      </c>
      <c r="D103" s="9"/>
      <c r="E103" s="11" t="s">
        <v>1186</v>
      </c>
      <c r="F103" s="52" t="s">
        <v>372</v>
      </c>
      <c r="G103" s="61"/>
      <c r="H103" s="64"/>
      <c r="I103" t="s">
        <v>345</v>
      </c>
      <c r="J103" s="10">
        <v>19482</v>
      </c>
      <c r="K103" s="10">
        <v>37696</v>
      </c>
      <c r="L103" s="61" t="s">
        <v>44</v>
      </c>
      <c r="M103" s="61" t="s">
        <v>155</v>
      </c>
      <c r="N103" s="107" t="str">
        <f>IF(_xlfn.NUMBERVALUE(DATEDIF(J103,K103,"Y"))-Table1[[#This Row],[Κατηγορία]]&lt;0,CONCATENATE("* Check Age = ",TEXT(DATEDIF(J103,K103,"Y"),"00"),"*"),"")</f>
        <v>* Check Age = 49*</v>
      </c>
      <c r="O103" t="s">
        <v>1427</v>
      </c>
    </row>
    <row r="104" spans="1:15" ht="18" hidden="1" customHeight="1" x14ac:dyDescent="0.2">
      <c r="A104" s="9" t="s">
        <v>1155</v>
      </c>
      <c r="B104" s="9" t="s">
        <v>1174</v>
      </c>
      <c r="C104" s="12" t="s">
        <v>1260</v>
      </c>
      <c r="D104" s="9"/>
      <c r="E104" s="11" t="s">
        <v>1186</v>
      </c>
      <c r="F104" s="52" t="s">
        <v>305</v>
      </c>
      <c r="G104" s="61"/>
      <c r="H104" s="64"/>
      <c r="I104" s="61" t="s">
        <v>306</v>
      </c>
      <c r="J104" s="11">
        <v>1963</v>
      </c>
      <c r="K104" s="10">
        <v>43575</v>
      </c>
      <c r="L104" s="61" t="s">
        <v>23</v>
      </c>
      <c r="M104" s="61" t="s">
        <v>155</v>
      </c>
      <c r="N104" s="107" t="str">
        <f>IF(_xlfn.NUMBERVALUE(DATEDIF(J104,K104,"Y"))-Table1[[#This Row],[Κατηγορία]]&lt;0,"* Check Age *","")</f>
        <v/>
      </c>
    </row>
    <row r="105" spans="1:15" ht="18" hidden="1" customHeight="1" x14ac:dyDescent="0.2">
      <c r="A105" s="9" t="s">
        <v>1155</v>
      </c>
      <c r="B105" s="9" t="s">
        <v>1174</v>
      </c>
      <c r="C105" s="12" t="s">
        <v>1261</v>
      </c>
      <c r="D105" s="9"/>
      <c r="E105" s="11" t="s">
        <v>1186</v>
      </c>
      <c r="F105" s="52" t="s">
        <v>373</v>
      </c>
      <c r="G105" s="61"/>
      <c r="H105" s="64"/>
      <c r="I105" t="s">
        <v>94</v>
      </c>
      <c r="J105" s="10">
        <v>16073</v>
      </c>
      <c r="K105" s="11">
        <v>2008</v>
      </c>
      <c r="L105" s="61" t="s">
        <v>205</v>
      </c>
      <c r="M105" t="s">
        <v>79</v>
      </c>
      <c r="N105" s="107"/>
    </row>
    <row r="106" spans="1:15" ht="18" hidden="1" customHeight="1" x14ac:dyDescent="0.2">
      <c r="A106" s="9" t="s">
        <v>1202</v>
      </c>
      <c r="B106" s="9" t="s">
        <v>1431</v>
      </c>
      <c r="C106" s="23" t="s">
        <v>1256</v>
      </c>
      <c r="D106" s="9" t="s">
        <v>1254</v>
      </c>
      <c r="E106" s="11" t="s">
        <v>1186</v>
      </c>
      <c r="F106" s="57" t="s">
        <v>616</v>
      </c>
      <c r="G106" s="1"/>
      <c r="H106" s="58"/>
      <c r="I106" s="1" t="s">
        <v>617</v>
      </c>
      <c r="J106" s="15">
        <v>29242</v>
      </c>
      <c r="K106" s="15">
        <v>43720</v>
      </c>
      <c r="L106" s="1" t="s">
        <v>627</v>
      </c>
      <c r="M106" s="1" t="s">
        <v>79</v>
      </c>
      <c r="N106" s="107" t="str">
        <f>IF(_xlfn.NUMBERVALUE(DATEDIF(J106,K106,"Y"))-Table1[[#This Row],[Κατηγορία]]&lt;0,"* Check Age *","")</f>
        <v/>
      </c>
    </row>
    <row r="107" spans="1:15" ht="18" hidden="1" customHeight="1" x14ac:dyDescent="0.2">
      <c r="A107" s="9" t="s">
        <v>1202</v>
      </c>
      <c r="B107" s="9" t="s">
        <v>1431</v>
      </c>
      <c r="C107" s="23" t="s">
        <v>1257</v>
      </c>
      <c r="D107" s="9" t="s">
        <v>1254</v>
      </c>
      <c r="E107" s="11" t="s">
        <v>1186</v>
      </c>
      <c r="F107" s="57" t="s">
        <v>864</v>
      </c>
      <c r="G107" s="1"/>
      <c r="H107" s="58"/>
      <c r="I107" s="1" t="s">
        <v>617</v>
      </c>
      <c r="J107" s="15">
        <v>29242</v>
      </c>
      <c r="K107" s="15">
        <v>44829</v>
      </c>
      <c r="L107" s="1" t="s">
        <v>95</v>
      </c>
      <c r="M107" s="1" t="s">
        <v>15</v>
      </c>
      <c r="N107" s="107" t="str">
        <f>IF(_xlfn.NUMBERVALUE(DATEDIF(J107,K107,"Y"))-Table1[[#This Row],[Κατηγορία]]&lt;0,"* Check Age *","")</f>
        <v/>
      </c>
    </row>
    <row r="108" spans="1:15" ht="18" hidden="1" customHeight="1" x14ac:dyDescent="0.2">
      <c r="A108" s="9" t="s">
        <v>1202</v>
      </c>
      <c r="B108" s="9" t="s">
        <v>1431</v>
      </c>
      <c r="C108" s="23" t="s">
        <v>1259</v>
      </c>
      <c r="D108" s="9" t="s">
        <v>1254</v>
      </c>
      <c r="E108" s="11" t="s">
        <v>1186</v>
      </c>
      <c r="F108" s="57" t="s">
        <v>865</v>
      </c>
      <c r="G108" s="1"/>
      <c r="H108" s="58"/>
      <c r="I108" s="1" t="s">
        <v>761</v>
      </c>
      <c r="J108" s="15">
        <v>25334</v>
      </c>
      <c r="K108" s="15">
        <v>44829</v>
      </c>
      <c r="L108" s="1" t="s">
        <v>95</v>
      </c>
      <c r="M108" s="1" t="s">
        <v>15</v>
      </c>
      <c r="N108" s="107" t="str">
        <f>IF(_xlfn.NUMBERVALUE(DATEDIF(J108,K108,"Y"))-Table1[[#This Row],[Κατηγορία]]&lt;0,"* Check Age *","")</f>
        <v/>
      </c>
    </row>
    <row r="109" spans="1:15" ht="18" hidden="1" customHeight="1" x14ac:dyDescent="0.2">
      <c r="A109" s="9" t="s">
        <v>1202</v>
      </c>
      <c r="B109" s="9" t="s">
        <v>1431</v>
      </c>
      <c r="C109" s="23" t="s">
        <v>1260</v>
      </c>
      <c r="D109" s="9" t="s">
        <v>1254</v>
      </c>
      <c r="E109" s="11" t="s">
        <v>1186</v>
      </c>
      <c r="F109" s="57" t="s">
        <v>1090</v>
      </c>
      <c r="G109" s="1"/>
      <c r="H109" s="58"/>
      <c r="I109" s="1" t="s">
        <v>761</v>
      </c>
      <c r="J109" s="15">
        <v>25334</v>
      </c>
      <c r="K109" s="15">
        <v>45517</v>
      </c>
      <c r="L109" s="1" t="s">
        <v>1091</v>
      </c>
      <c r="M109" s="1" t="s">
        <v>85</v>
      </c>
      <c r="N109" s="107" t="str">
        <f>IF(_xlfn.NUMBERVALUE(DATEDIF(J109,K109,"Y"))-Table1[[#This Row],[Κατηγορία]]&lt;0,"* Check Age *","")</f>
        <v/>
      </c>
    </row>
    <row r="110" spans="1:15" ht="18" hidden="1" customHeight="1" x14ac:dyDescent="0.2">
      <c r="A110" s="9" t="s">
        <v>1155</v>
      </c>
      <c r="B110" s="9" t="s">
        <v>1170</v>
      </c>
      <c r="C110" s="12" t="s">
        <v>1261</v>
      </c>
      <c r="D110" s="9" t="s">
        <v>1240</v>
      </c>
      <c r="E110" s="11" t="s">
        <v>1186</v>
      </c>
      <c r="F110" s="52" t="s">
        <v>243</v>
      </c>
      <c r="I110" t="s">
        <v>147</v>
      </c>
      <c r="J110" s="10">
        <v>21123</v>
      </c>
      <c r="K110" s="11">
        <v>2018</v>
      </c>
      <c r="L110" t="s">
        <v>84</v>
      </c>
      <c r="M110" t="s">
        <v>85</v>
      </c>
      <c r="N110" s="107"/>
    </row>
    <row r="111" spans="1:15" ht="18" hidden="1" customHeight="1" x14ac:dyDescent="0.2">
      <c r="A111" s="9" t="s">
        <v>1155</v>
      </c>
      <c r="B111" s="9" t="s">
        <v>1170</v>
      </c>
      <c r="C111" s="12" t="s">
        <v>1262</v>
      </c>
      <c r="D111" s="9" t="s">
        <v>1240</v>
      </c>
      <c r="E111" s="11" t="s">
        <v>1186</v>
      </c>
      <c r="F111" s="52" t="s">
        <v>244</v>
      </c>
      <c r="I111" t="s">
        <v>245</v>
      </c>
      <c r="J111" s="10">
        <v>19587</v>
      </c>
      <c r="K111" s="10">
        <v>43729</v>
      </c>
      <c r="L111" t="s">
        <v>35</v>
      </c>
      <c r="M111" t="s">
        <v>15</v>
      </c>
      <c r="N111" s="107" t="str">
        <f>IF(_xlfn.NUMBERVALUE(DATEDIF(J111,K111,"Y"))-Table1[[#This Row],[Κατηγορία]]&lt;0,"* Check Age *","")</f>
        <v/>
      </c>
    </row>
    <row r="112" spans="1:15" ht="18" hidden="1" customHeight="1" x14ac:dyDescent="0.2">
      <c r="A112" s="9" t="s">
        <v>1155</v>
      </c>
      <c r="B112" s="9" t="s">
        <v>1170</v>
      </c>
      <c r="C112" s="12" t="s">
        <v>1263</v>
      </c>
      <c r="D112" s="9" t="s">
        <v>1240</v>
      </c>
      <c r="E112" s="11" t="s">
        <v>1186</v>
      </c>
      <c r="F112" s="52" t="s">
        <v>974</v>
      </c>
      <c r="I112" t="s">
        <v>245</v>
      </c>
      <c r="J112" s="10">
        <v>19587</v>
      </c>
      <c r="K112" s="54">
        <v>45172</v>
      </c>
      <c r="L112" t="s">
        <v>57</v>
      </c>
      <c r="M112" t="s">
        <v>15</v>
      </c>
      <c r="N112" s="107" t="str">
        <f>IF(_xlfn.NUMBERVALUE(DATEDIF(J112,K112,"Y"))-Table1[[#This Row],[Κατηγορία]]&lt;0,"* Check Age *","")</f>
        <v/>
      </c>
    </row>
    <row r="113" spans="1:14" ht="18" hidden="1" customHeight="1" x14ac:dyDescent="0.2">
      <c r="A113" s="9" t="s">
        <v>1155</v>
      </c>
      <c r="B113" s="9" t="s">
        <v>1156</v>
      </c>
      <c r="C113" s="12" t="s">
        <v>1256</v>
      </c>
      <c r="D113" s="9"/>
      <c r="E113" s="11" t="s">
        <v>1186</v>
      </c>
      <c r="F113" s="52" t="s">
        <v>946</v>
      </c>
      <c r="H113" s="11" t="s">
        <v>948</v>
      </c>
      <c r="I113" t="s">
        <v>947</v>
      </c>
      <c r="J113" s="10">
        <v>32103</v>
      </c>
      <c r="K113" s="10">
        <v>45052</v>
      </c>
      <c r="L113" t="s">
        <v>949</v>
      </c>
      <c r="M113" t="s">
        <v>950</v>
      </c>
      <c r="N113" s="107" t="str">
        <f>IF(_xlfn.NUMBERVALUE(DATEDIF(J113,K113,"Y"))-Table1[[#This Row],[Κατηγορία]]&lt;0,"* Check Age *","")</f>
        <v/>
      </c>
    </row>
    <row r="114" spans="1:14" ht="18" hidden="1" customHeight="1" x14ac:dyDescent="0.2">
      <c r="A114" s="9" t="s">
        <v>1155</v>
      </c>
      <c r="B114" s="9" t="s">
        <v>1156</v>
      </c>
      <c r="C114" s="12" t="s">
        <v>1257</v>
      </c>
      <c r="D114" s="9"/>
      <c r="E114" s="11" t="s">
        <v>1186</v>
      </c>
      <c r="F114" s="52" t="s">
        <v>1419</v>
      </c>
      <c r="H114" s="11" t="s">
        <v>811</v>
      </c>
      <c r="I114" s="1" t="s">
        <v>1349</v>
      </c>
      <c r="J114" s="15">
        <v>31211</v>
      </c>
      <c r="K114" s="10">
        <v>45946</v>
      </c>
      <c r="L114" t="s">
        <v>1413</v>
      </c>
      <c r="M114" t="s">
        <v>79</v>
      </c>
      <c r="N114" s="107"/>
    </row>
    <row r="115" spans="1:14" ht="18" hidden="1" customHeight="1" x14ac:dyDescent="0.2">
      <c r="A115" s="9" t="s">
        <v>1155</v>
      </c>
      <c r="B115" s="9" t="s">
        <v>1156</v>
      </c>
      <c r="C115" s="12" t="s">
        <v>1258</v>
      </c>
      <c r="D115" s="9"/>
      <c r="E115" s="11" t="s">
        <v>1186</v>
      </c>
      <c r="F115" s="52" t="s">
        <v>1282</v>
      </c>
      <c r="H115" s="94" t="s">
        <v>1284</v>
      </c>
      <c r="I115" t="s">
        <v>83</v>
      </c>
      <c r="J115" s="10">
        <v>28389</v>
      </c>
      <c r="K115" s="10">
        <v>45808</v>
      </c>
      <c r="L115" t="s">
        <v>1283</v>
      </c>
      <c r="M115" t="s">
        <v>951</v>
      </c>
      <c r="N115" s="107" t="str">
        <f>IF(_xlfn.NUMBERVALUE(DATEDIF(J115,K115,"Y"))-Table1[[#This Row],[Κατηγορία]]&lt;0,"* Check Age *","")</f>
        <v/>
      </c>
    </row>
    <row r="116" spans="1:14" ht="18" hidden="1" customHeight="1" x14ac:dyDescent="0.2">
      <c r="A116" s="9" t="s">
        <v>1155</v>
      </c>
      <c r="B116" s="9" t="s">
        <v>1156</v>
      </c>
      <c r="C116" s="12" t="s">
        <v>1259</v>
      </c>
      <c r="D116" s="9"/>
      <c r="E116" s="11" t="s">
        <v>1186</v>
      </c>
      <c r="F116" s="52" t="s">
        <v>68</v>
      </c>
      <c r="I116" t="s">
        <v>39</v>
      </c>
      <c r="J116" s="10">
        <v>25005</v>
      </c>
      <c r="K116" s="10">
        <v>43275</v>
      </c>
      <c r="L116" t="s">
        <v>23</v>
      </c>
      <c r="M116" t="s">
        <v>40</v>
      </c>
      <c r="N116" s="107" t="str">
        <f>IF(_xlfn.NUMBERVALUE(DATEDIF(J116,K116,"Y"))-Table1[[#This Row],[Κατηγορία]]&lt;0,"* Check Age *","")</f>
        <v/>
      </c>
    </row>
    <row r="117" spans="1:14" ht="18" hidden="1" customHeight="1" x14ac:dyDescent="0.2">
      <c r="A117" s="9" t="s">
        <v>1155</v>
      </c>
      <c r="B117" s="9" t="s">
        <v>1156</v>
      </c>
      <c r="C117" s="12" t="s">
        <v>1260</v>
      </c>
      <c r="D117" s="9"/>
      <c r="E117" s="11" t="s">
        <v>1186</v>
      </c>
      <c r="F117" s="52" t="s">
        <v>1058</v>
      </c>
      <c r="H117" s="11" t="s">
        <v>1059</v>
      </c>
      <c r="I117" t="s">
        <v>39</v>
      </c>
      <c r="J117" s="10">
        <v>25005</v>
      </c>
      <c r="K117" s="10">
        <v>45451</v>
      </c>
      <c r="L117" t="s">
        <v>1060</v>
      </c>
      <c r="M117" t="s">
        <v>95</v>
      </c>
      <c r="N117" s="107" t="str">
        <f>IF(_xlfn.NUMBERVALUE(DATEDIF(J117,K117,"Y"))-Table1[[#This Row],[Κατηγορία]]&lt;0,"* Check Age *","")</f>
        <v/>
      </c>
    </row>
    <row r="118" spans="1:14" ht="18" hidden="1" customHeight="1" x14ac:dyDescent="0.2">
      <c r="A118" s="9" t="s">
        <v>1155</v>
      </c>
      <c r="B118" s="9" t="s">
        <v>1156</v>
      </c>
      <c r="C118" s="12" t="s">
        <v>1261</v>
      </c>
      <c r="D118" s="9"/>
      <c r="E118" s="11" t="s">
        <v>1186</v>
      </c>
      <c r="F118" s="52" t="s">
        <v>472</v>
      </c>
      <c r="I118" t="s">
        <v>69</v>
      </c>
      <c r="J118" s="10">
        <v>19231</v>
      </c>
      <c r="K118" s="11">
        <v>2012</v>
      </c>
      <c r="L118" t="s">
        <v>70</v>
      </c>
      <c r="M118" t="s">
        <v>40</v>
      </c>
      <c r="N118" s="107"/>
    </row>
    <row r="119" spans="1:14" ht="18" hidden="1" customHeight="1" x14ac:dyDescent="0.2">
      <c r="A119" s="9" t="s">
        <v>1155</v>
      </c>
      <c r="B119" s="9" t="s">
        <v>1156</v>
      </c>
      <c r="C119" s="12" t="s">
        <v>1262</v>
      </c>
      <c r="D119" s="9"/>
      <c r="E119" s="11" t="s">
        <v>1186</v>
      </c>
      <c r="F119" s="52" t="s">
        <v>813</v>
      </c>
      <c r="H119" s="11" t="s">
        <v>814</v>
      </c>
      <c r="I119" t="s">
        <v>90</v>
      </c>
      <c r="J119" s="10">
        <v>19131</v>
      </c>
      <c r="K119" s="10">
        <v>43155</v>
      </c>
      <c r="L119" t="s">
        <v>812</v>
      </c>
      <c r="N119" s="107" t="str">
        <f>IF(_xlfn.NUMBERVALUE(DATEDIF(J119,K119,"Y"))-Table1[[#This Row],[Κατηγορία]]&lt;0,"* Check Age *","")</f>
        <v/>
      </c>
    </row>
    <row r="120" spans="1:14" ht="18" hidden="1" customHeight="1" x14ac:dyDescent="0.2">
      <c r="A120" s="9" t="s">
        <v>1155</v>
      </c>
      <c r="B120" s="9" t="s">
        <v>1156</v>
      </c>
      <c r="C120" s="12" t="s">
        <v>1263</v>
      </c>
      <c r="D120" s="9"/>
      <c r="E120" s="11" t="s">
        <v>1186</v>
      </c>
      <c r="F120" s="52" t="s">
        <v>72</v>
      </c>
      <c r="I120" t="s">
        <v>48</v>
      </c>
      <c r="J120" s="10">
        <v>17766</v>
      </c>
      <c r="K120" s="10">
        <v>43366</v>
      </c>
      <c r="L120" t="s">
        <v>73</v>
      </c>
      <c r="M120" t="s">
        <v>15</v>
      </c>
      <c r="N120" s="107" t="str">
        <f>IF(_xlfn.NUMBERVALUE(DATEDIF(J120,K120,"Y"))-Table1[[#This Row],[Κατηγορία]]&lt;0,"* Check Age *","")</f>
        <v/>
      </c>
    </row>
    <row r="121" spans="1:14" ht="18" hidden="1" customHeight="1" x14ac:dyDescent="0.2">
      <c r="A121" s="9" t="s">
        <v>1155</v>
      </c>
      <c r="B121" s="9" t="s">
        <v>1156</v>
      </c>
      <c r="C121" s="12" t="s">
        <v>1263</v>
      </c>
      <c r="D121" s="9"/>
      <c r="E121" s="11" t="s">
        <v>1187</v>
      </c>
      <c r="F121" s="52" t="s">
        <v>98</v>
      </c>
      <c r="I121" t="s">
        <v>42</v>
      </c>
      <c r="J121" s="10">
        <v>12579</v>
      </c>
      <c r="K121" s="10">
        <v>38284</v>
      </c>
      <c r="L121" t="s">
        <v>46</v>
      </c>
      <c r="M121" t="s">
        <v>40</v>
      </c>
      <c r="N121" s="107" t="str">
        <f>IF(_xlfn.NUMBERVALUE(DATEDIF(J121,K121,"Y"))-Table1[[#This Row],[Κατηγορία]]&lt;0,"* Check Age *","")</f>
        <v/>
      </c>
    </row>
    <row r="122" spans="1:14" ht="18" hidden="1" customHeight="1" x14ac:dyDescent="0.2">
      <c r="A122" s="9" t="s">
        <v>1155</v>
      </c>
      <c r="B122" s="9" t="s">
        <v>1156</v>
      </c>
      <c r="C122" s="12" t="s">
        <v>1264</v>
      </c>
      <c r="D122" s="9"/>
      <c r="E122" s="11" t="s">
        <v>1186</v>
      </c>
      <c r="F122" s="52" t="s">
        <v>74</v>
      </c>
      <c r="I122" t="s">
        <v>42</v>
      </c>
      <c r="J122" s="10">
        <v>12579</v>
      </c>
      <c r="K122" s="10">
        <v>40713</v>
      </c>
      <c r="L122" t="s">
        <v>23</v>
      </c>
      <c r="M122" t="s">
        <v>40</v>
      </c>
      <c r="N122" s="107" t="str">
        <f>IF(_xlfn.NUMBERVALUE(DATEDIF(J122,K122,"Y"))-Table1[[#This Row],[Κατηγορία]]&lt;0,"* Check Age *","")</f>
        <v/>
      </c>
    </row>
    <row r="123" spans="1:14" ht="18" hidden="1" customHeight="1" x14ac:dyDescent="0.2">
      <c r="A123" s="9" t="s">
        <v>1155</v>
      </c>
      <c r="B123" s="9" t="s">
        <v>1156</v>
      </c>
      <c r="C123" s="12" t="s">
        <v>1265</v>
      </c>
      <c r="D123" s="9"/>
      <c r="E123" s="11" t="s">
        <v>1186</v>
      </c>
      <c r="F123" s="52" t="s">
        <v>75</v>
      </c>
      <c r="I123" t="s">
        <v>42</v>
      </c>
      <c r="J123" s="10">
        <v>12579</v>
      </c>
      <c r="K123" s="10">
        <v>41881</v>
      </c>
      <c r="L123" t="s">
        <v>57</v>
      </c>
      <c r="M123" t="s">
        <v>79</v>
      </c>
      <c r="N123" s="107" t="str">
        <f>IF(_xlfn.NUMBERVALUE(DATEDIF(J123,K123,"Y"))-Table1[[#This Row],[Κατηγορία]]&lt;0,"* Check Age *","")</f>
        <v/>
      </c>
    </row>
    <row r="124" spans="1:14" ht="18" hidden="1" customHeight="1" x14ac:dyDescent="0.2">
      <c r="A124" s="9" t="s">
        <v>1155</v>
      </c>
      <c r="B124" s="9" t="s">
        <v>1156</v>
      </c>
      <c r="C124" s="12" t="s">
        <v>1266</v>
      </c>
      <c r="D124" s="9"/>
      <c r="E124" s="11" t="s">
        <v>1186</v>
      </c>
      <c r="F124" s="52" t="s">
        <v>76</v>
      </c>
      <c r="I124" t="s">
        <v>59</v>
      </c>
      <c r="J124" s="10">
        <v>10618</v>
      </c>
      <c r="K124" s="10">
        <v>41881</v>
      </c>
      <c r="L124" t="s">
        <v>57</v>
      </c>
      <c r="M124" t="s">
        <v>79</v>
      </c>
      <c r="N124" s="107" t="str">
        <f>IF(_xlfn.NUMBERVALUE(DATEDIF(J124,K124,"Y"))-Table1[[#This Row],[Κατηγορία]]&lt;0,"* Check Age *","")</f>
        <v/>
      </c>
    </row>
    <row r="125" spans="1:14" ht="18" hidden="1" customHeight="1" x14ac:dyDescent="0.2">
      <c r="A125" s="9" t="s">
        <v>1155</v>
      </c>
      <c r="B125" s="9" t="s">
        <v>1156</v>
      </c>
      <c r="C125" s="12" t="s">
        <v>1267</v>
      </c>
      <c r="D125" s="9"/>
      <c r="E125" s="11" t="s">
        <v>1186</v>
      </c>
      <c r="F125" s="52" t="s">
        <v>77</v>
      </c>
      <c r="H125" s="11" t="s">
        <v>78</v>
      </c>
      <c r="I125" t="s">
        <v>59</v>
      </c>
      <c r="J125" s="10">
        <v>10618</v>
      </c>
      <c r="K125" s="10">
        <v>43720</v>
      </c>
      <c r="L125" t="s">
        <v>627</v>
      </c>
      <c r="M125" t="s">
        <v>79</v>
      </c>
      <c r="N125" s="107" t="str">
        <f>IF(_xlfn.NUMBERVALUE(DATEDIF(J125,K125,"Y"))-Table1[[#This Row],[Κατηγορία]]&lt;0,"* Check Age *","")</f>
        <v/>
      </c>
    </row>
    <row r="126" spans="1:14" ht="18" hidden="1" customHeight="1" x14ac:dyDescent="0.2">
      <c r="A126" s="9" t="s">
        <v>1155</v>
      </c>
      <c r="B126" s="9" t="s">
        <v>1156</v>
      </c>
      <c r="C126" s="12" t="s">
        <v>1268</v>
      </c>
      <c r="D126" s="9"/>
      <c r="E126" s="11" t="s">
        <v>1186</v>
      </c>
      <c r="F126" s="52" t="s">
        <v>429</v>
      </c>
      <c r="H126" s="11" t="s">
        <v>1378</v>
      </c>
      <c r="I126" t="s">
        <v>59</v>
      </c>
      <c r="J126" s="10">
        <v>10618</v>
      </c>
      <c r="K126" s="10">
        <v>45844</v>
      </c>
      <c r="L126" s="1" t="s">
        <v>44</v>
      </c>
      <c r="M126" s="1" t="s">
        <v>957</v>
      </c>
      <c r="N126" s="107" t="str">
        <f>IF(_xlfn.NUMBERVALUE(DATEDIF(J126,K126,"Y"))-Table1[[#This Row],[Κατηγορία]]&lt;0,"* Check Age *","")</f>
        <v/>
      </c>
    </row>
    <row r="127" spans="1:14" ht="18" hidden="1" customHeight="1" x14ac:dyDescent="0.2">
      <c r="A127" s="9" t="s">
        <v>1202</v>
      </c>
      <c r="B127" s="9" t="s">
        <v>1156</v>
      </c>
      <c r="C127" s="23" t="s">
        <v>1256</v>
      </c>
      <c r="D127" s="9"/>
      <c r="E127" s="11" t="s">
        <v>1186</v>
      </c>
      <c r="F127" s="57" t="s">
        <v>273</v>
      </c>
      <c r="G127" s="1"/>
      <c r="H127" s="58"/>
      <c r="I127" s="1" t="s">
        <v>274</v>
      </c>
      <c r="J127" s="15">
        <v>28329</v>
      </c>
      <c r="K127" s="15">
        <v>42540</v>
      </c>
      <c r="L127" s="1" t="s">
        <v>130</v>
      </c>
      <c r="M127" s="1" t="s">
        <v>155</v>
      </c>
      <c r="N127" s="107" t="str">
        <f>IF(_xlfn.NUMBERVALUE(DATEDIF(J127,K127,"Y"))-Table1[[#This Row],[Κατηγορία]]&lt;0,"* Check Age *","")</f>
        <v/>
      </c>
    </row>
    <row r="128" spans="1:14" ht="18" hidden="1" customHeight="1" x14ac:dyDescent="0.2">
      <c r="A128" s="9" t="s">
        <v>1202</v>
      </c>
      <c r="B128" s="9" t="s">
        <v>1156</v>
      </c>
      <c r="C128" s="23" t="s">
        <v>1257</v>
      </c>
      <c r="D128" s="9"/>
      <c r="E128" s="11" t="s">
        <v>1186</v>
      </c>
      <c r="F128" s="57" t="s">
        <v>788</v>
      </c>
      <c r="G128" s="1"/>
      <c r="H128" s="58"/>
      <c r="I128" s="1" t="s">
        <v>535</v>
      </c>
      <c r="J128" s="15">
        <v>28520</v>
      </c>
      <c r="K128" s="15">
        <v>44394</v>
      </c>
      <c r="L128" s="1" t="s">
        <v>789</v>
      </c>
      <c r="M128" s="1" t="s">
        <v>658</v>
      </c>
      <c r="N128" s="107" t="str">
        <f>IF(_xlfn.NUMBERVALUE(DATEDIF(J128,K128,"Y"))-Table1[[#This Row],[Κατηγορία]]&lt;0,"* Check Age *","")</f>
        <v/>
      </c>
    </row>
    <row r="129" spans="1:14" ht="18" hidden="1" customHeight="1" x14ac:dyDescent="0.2">
      <c r="A129" s="9" t="s">
        <v>1202</v>
      </c>
      <c r="B129" s="9" t="s">
        <v>1156</v>
      </c>
      <c r="C129" s="23" t="s">
        <v>1258</v>
      </c>
      <c r="D129" s="9"/>
      <c r="E129" s="11" t="s">
        <v>1186</v>
      </c>
      <c r="F129" s="57" t="s">
        <v>1438</v>
      </c>
      <c r="G129" s="1"/>
      <c r="H129" s="58"/>
      <c r="I129" s="1" t="s">
        <v>534</v>
      </c>
      <c r="J129" s="15">
        <v>25836</v>
      </c>
      <c r="K129" s="15">
        <v>42533</v>
      </c>
      <c r="L129" s="1" t="s">
        <v>66</v>
      </c>
      <c r="M129" s="1" t="s">
        <v>343</v>
      </c>
      <c r="N129" s="107" t="str">
        <f>IF(_xlfn.NUMBERVALUE(DATEDIF(J129,K129,"Y"))-Table1[[#This Row],[Κατηγορία]]&lt;0,CONCATENATE("* Check Age = ",TEXT(DATEDIF(J129,K129,"Y"),"00"),"*"),"")</f>
        <v/>
      </c>
    </row>
    <row r="130" spans="1:14" ht="18" hidden="1" customHeight="1" x14ac:dyDescent="0.2">
      <c r="A130" s="9" t="s">
        <v>1202</v>
      </c>
      <c r="B130" s="9" t="s">
        <v>1156</v>
      </c>
      <c r="C130" s="23" t="s">
        <v>1259</v>
      </c>
      <c r="D130" s="9"/>
      <c r="E130" s="11" t="s">
        <v>1186</v>
      </c>
      <c r="F130" s="57" t="s">
        <v>837</v>
      </c>
      <c r="G130" s="1"/>
      <c r="H130" s="58"/>
      <c r="I130" s="1" t="s">
        <v>534</v>
      </c>
      <c r="J130" s="15">
        <v>25836</v>
      </c>
      <c r="K130" s="15">
        <v>44744</v>
      </c>
      <c r="L130" s="1" t="s">
        <v>829</v>
      </c>
      <c r="M130" s="1" t="s">
        <v>85</v>
      </c>
      <c r="N130" s="107" t="str">
        <f>IF(_xlfn.NUMBERVALUE(DATEDIF(J130,K130,"Y"))-Table1[[#This Row],[Κατηγορία]]&lt;0,"* Check Age *","")</f>
        <v/>
      </c>
    </row>
    <row r="131" spans="1:14" ht="18" hidden="1" customHeight="1" x14ac:dyDescent="0.2">
      <c r="A131" s="9" t="s">
        <v>1202</v>
      </c>
      <c r="B131" s="9" t="s">
        <v>1156</v>
      </c>
      <c r="C131" s="23" t="s">
        <v>1260</v>
      </c>
      <c r="D131" s="9"/>
      <c r="E131" s="11" t="s">
        <v>1186</v>
      </c>
      <c r="F131" s="57" t="s">
        <v>1420</v>
      </c>
      <c r="G131" s="1"/>
      <c r="H131" s="58" t="s">
        <v>1421</v>
      </c>
      <c r="I131" s="1" t="s">
        <v>534</v>
      </c>
      <c r="J131" s="15">
        <v>25836</v>
      </c>
      <c r="K131" s="15">
        <v>45946</v>
      </c>
      <c r="L131" s="1" t="s">
        <v>1413</v>
      </c>
      <c r="M131" s="1" t="s">
        <v>79</v>
      </c>
      <c r="N131" s="107"/>
    </row>
    <row r="132" spans="1:14" ht="18" hidden="1" customHeight="1" x14ac:dyDescent="0.2">
      <c r="A132" s="9" t="s">
        <v>1202</v>
      </c>
      <c r="B132" s="9" t="s">
        <v>1156</v>
      </c>
      <c r="C132" s="23" t="s">
        <v>1261</v>
      </c>
      <c r="D132" s="9"/>
      <c r="E132" s="11" t="s">
        <v>1186</v>
      </c>
      <c r="F132" s="57" t="s">
        <v>553</v>
      </c>
      <c r="G132" s="1"/>
      <c r="H132" s="58"/>
      <c r="I132" s="1" t="s">
        <v>554</v>
      </c>
      <c r="J132" s="23"/>
      <c r="K132" s="23">
        <v>2009</v>
      </c>
      <c r="L132" s="66" t="s">
        <v>555</v>
      </c>
      <c r="M132" s="1" t="s">
        <v>343</v>
      </c>
      <c r="N132" s="107"/>
    </row>
    <row r="133" spans="1:14" ht="18" hidden="1" customHeight="1" x14ac:dyDescent="0.2">
      <c r="A133" s="9" t="s">
        <v>1202</v>
      </c>
      <c r="B133" s="9" t="s">
        <v>1156</v>
      </c>
      <c r="C133" s="23" t="s">
        <v>1262</v>
      </c>
      <c r="D133" s="9"/>
      <c r="E133" s="11" t="s">
        <v>1186</v>
      </c>
      <c r="F133" s="57" t="s">
        <v>713</v>
      </c>
      <c r="G133" s="1"/>
      <c r="H133" s="58"/>
      <c r="I133" s="1" t="s">
        <v>543</v>
      </c>
      <c r="J133" s="15">
        <v>16444</v>
      </c>
      <c r="K133" s="23">
        <v>2010</v>
      </c>
      <c r="L133" s="1" t="s">
        <v>89</v>
      </c>
      <c r="M133" s="1" t="s">
        <v>79</v>
      </c>
      <c r="N133" s="107"/>
    </row>
    <row r="134" spans="1:14" ht="18" hidden="1" customHeight="1" x14ac:dyDescent="0.2">
      <c r="A134" s="9" t="s">
        <v>1202</v>
      </c>
      <c r="B134" s="9" t="s">
        <v>1156</v>
      </c>
      <c r="C134" s="23" t="s">
        <v>1263</v>
      </c>
      <c r="D134" s="9"/>
      <c r="E134" s="11" t="s">
        <v>1186</v>
      </c>
      <c r="F134" s="57" t="s">
        <v>556</v>
      </c>
      <c r="G134" s="1"/>
      <c r="H134" s="58"/>
      <c r="I134" s="1" t="s">
        <v>543</v>
      </c>
      <c r="J134" s="15">
        <v>16444</v>
      </c>
      <c r="K134" s="15">
        <v>42266</v>
      </c>
      <c r="L134" s="1" t="s">
        <v>95</v>
      </c>
      <c r="M134" s="1" t="s">
        <v>15</v>
      </c>
      <c r="N134" s="107" t="str">
        <f>IF(_xlfn.NUMBERVALUE(DATEDIF(J134,K134,"Y"))-Table1[[#This Row],[Κατηγορία]]&lt;0,"* Check Age *","")</f>
        <v/>
      </c>
    </row>
    <row r="135" spans="1:14" ht="18" hidden="1" customHeight="1" x14ac:dyDescent="0.2">
      <c r="A135" s="9" t="s">
        <v>1202</v>
      </c>
      <c r="B135" s="9" t="s">
        <v>1156</v>
      </c>
      <c r="C135" s="23" t="s">
        <v>1264</v>
      </c>
      <c r="D135" s="9"/>
      <c r="E135" s="11" t="s">
        <v>1186</v>
      </c>
      <c r="F135" s="57" t="s">
        <v>557</v>
      </c>
      <c r="G135" s="1"/>
      <c r="H135" s="58"/>
      <c r="I135" s="1" t="s">
        <v>560</v>
      </c>
      <c r="J135" s="15">
        <v>11689</v>
      </c>
      <c r="K135" s="23">
        <v>2009</v>
      </c>
      <c r="L135" s="66" t="s">
        <v>555</v>
      </c>
      <c r="M135" s="1" t="s">
        <v>343</v>
      </c>
      <c r="N135" s="107"/>
    </row>
    <row r="136" spans="1:14" ht="18" hidden="1" customHeight="1" x14ac:dyDescent="0.2">
      <c r="A136" s="9" t="s">
        <v>1202</v>
      </c>
      <c r="B136" s="9" t="s">
        <v>1156</v>
      </c>
      <c r="C136" s="23" t="s">
        <v>1265</v>
      </c>
      <c r="D136" s="9"/>
      <c r="E136" s="11" t="s">
        <v>1186</v>
      </c>
      <c r="F136" s="57" t="s">
        <v>558</v>
      </c>
      <c r="G136" s="1"/>
      <c r="H136" s="58"/>
      <c r="I136" s="1" t="s">
        <v>286</v>
      </c>
      <c r="J136" s="15">
        <v>12394</v>
      </c>
      <c r="K136" s="15">
        <v>41903</v>
      </c>
      <c r="L136" s="1" t="s">
        <v>35</v>
      </c>
      <c r="M136" s="1" t="s">
        <v>15</v>
      </c>
      <c r="N136" s="107" t="str">
        <f>IF(_xlfn.NUMBERVALUE(DATEDIF(J136,K136,"Y"))-Table1[[#This Row],[Κατηγορία]]&lt;0,"* Check Age *","")</f>
        <v/>
      </c>
    </row>
    <row r="137" spans="1:14" ht="18" hidden="1" customHeight="1" x14ac:dyDescent="0.2">
      <c r="A137" s="9" t="s">
        <v>1202</v>
      </c>
      <c r="B137" s="9" t="s">
        <v>1156</v>
      </c>
      <c r="C137" s="23" t="s">
        <v>1266</v>
      </c>
      <c r="D137" s="9"/>
      <c r="E137" s="11" t="s">
        <v>1186</v>
      </c>
      <c r="F137" s="57" t="s">
        <v>559</v>
      </c>
      <c r="G137" s="1"/>
      <c r="H137" s="58"/>
      <c r="I137" s="1" t="s">
        <v>286</v>
      </c>
      <c r="J137" s="15">
        <v>12394</v>
      </c>
      <c r="K137" s="15">
        <v>43632</v>
      </c>
      <c r="L137" s="1" t="s">
        <v>122</v>
      </c>
      <c r="M137" s="1" t="s">
        <v>343</v>
      </c>
      <c r="N137" s="107" t="str">
        <f>IF(_xlfn.NUMBERVALUE(DATEDIF(J137,K137,"Y"))-Table1[[#This Row],[Κατηγορία]]&lt;0,"* Check Age *","")</f>
        <v/>
      </c>
    </row>
    <row r="138" spans="1:14" ht="18" hidden="1" customHeight="1" x14ac:dyDescent="0.2">
      <c r="A138" s="9" t="s">
        <v>1202</v>
      </c>
      <c r="B138" s="9" t="s">
        <v>1156</v>
      </c>
      <c r="C138" s="23">
        <v>90</v>
      </c>
      <c r="D138" s="9" t="s">
        <v>1384</v>
      </c>
      <c r="E138" s="11" t="s">
        <v>1186</v>
      </c>
      <c r="F138" s="67" t="s">
        <v>1385</v>
      </c>
      <c r="G138" s="58"/>
      <c r="H138" s="1"/>
      <c r="I138" s="1" t="s">
        <v>286</v>
      </c>
      <c r="J138" s="15">
        <v>12394</v>
      </c>
      <c r="K138" s="15">
        <v>45844</v>
      </c>
      <c r="L138" s="1" t="s">
        <v>44</v>
      </c>
      <c r="M138" s="1" t="s">
        <v>957</v>
      </c>
      <c r="N138" s="107" t="str">
        <f>IF(_xlfn.NUMBERVALUE(DATEDIF(J138,K138,"Y"))-Table1[[#This Row],[Κατηγορία]]&lt;0,"* Check Age *","")</f>
        <v/>
      </c>
    </row>
    <row r="139" spans="1:14" ht="18" hidden="1" customHeight="1" x14ac:dyDescent="0.2">
      <c r="A139" s="9" t="s">
        <v>1155</v>
      </c>
      <c r="B139" s="9" t="s">
        <v>1168</v>
      </c>
      <c r="C139" s="12" t="s">
        <v>1265</v>
      </c>
      <c r="D139" s="9" t="s">
        <v>1241</v>
      </c>
      <c r="E139" s="11" t="s">
        <v>1186</v>
      </c>
      <c r="F139" s="52" t="s">
        <v>1422</v>
      </c>
      <c r="H139" s="11" t="s">
        <v>1038</v>
      </c>
      <c r="I139" t="s">
        <v>909</v>
      </c>
      <c r="J139" s="10">
        <v>16299</v>
      </c>
      <c r="K139" s="54">
        <v>45943</v>
      </c>
      <c r="L139" s="1" t="s">
        <v>1413</v>
      </c>
      <c r="M139" s="1" t="s">
        <v>79</v>
      </c>
      <c r="N139" s="107"/>
    </row>
    <row r="140" spans="1:14" ht="18" hidden="1" customHeight="1" x14ac:dyDescent="0.2">
      <c r="A140" s="9" t="s">
        <v>1155</v>
      </c>
      <c r="B140" s="9" t="s">
        <v>1161</v>
      </c>
      <c r="C140" s="12" t="s">
        <v>1256</v>
      </c>
      <c r="D140" s="9"/>
      <c r="E140" s="11" t="s">
        <v>1186</v>
      </c>
      <c r="F140" s="52" t="s">
        <v>141</v>
      </c>
      <c r="I140" t="s">
        <v>142</v>
      </c>
      <c r="J140" s="10">
        <v>22859</v>
      </c>
      <c r="K140" s="11">
        <v>1997</v>
      </c>
      <c r="L140" t="s">
        <v>143</v>
      </c>
      <c r="N140" s="107"/>
    </row>
    <row r="141" spans="1:14" ht="18" hidden="1" customHeight="1" x14ac:dyDescent="0.2">
      <c r="A141" s="9" t="s">
        <v>1155</v>
      </c>
      <c r="B141" s="9" t="s">
        <v>1161</v>
      </c>
      <c r="C141" s="12" t="s">
        <v>1257</v>
      </c>
      <c r="D141" s="9"/>
      <c r="E141" s="11" t="s">
        <v>1186</v>
      </c>
      <c r="F141" s="52" t="s">
        <v>845</v>
      </c>
      <c r="I141" t="s">
        <v>846</v>
      </c>
      <c r="J141" s="10">
        <v>30130</v>
      </c>
      <c r="K141" s="10">
        <v>44759</v>
      </c>
      <c r="L141" t="s">
        <v>175</v>
      </c>
      <c r="M141" t="s">
        <v>847</v>
      </c>
      <c r="N141" s="107" t="str">
        <f>IF(_xlfn.NUMBERVALUE(DATEDIF(J141,K141,"Y"))-Table1[[#This Row],[Κατηγορία]]&lt;0,"* Check Age *","")</f>
        <v/>
      </c>
    </row>
    <row r="142" spans="1:14" ht="18" hidden="1" customHeight="1" x14ac:dyDescent="0.2">
      <c r="A142" s="9" t="s">
        <v>1155</v>
      </c>
      <c r="B142" s="9" t="s">
        <v>1161</v>
      </c>
      <c r="C142" s="12" t="s">
        <v>1258</v>
      </c>
      <c r="D142" s="9"/>
      <c r="E142" s="11" t="s">
        <v>1186</v>
      </c>
      <c r="F142" s="55" t="s">
        <v>1005</v>
      </c>
      <c r="G142" s="56"/>
      <c r="H142" s="91"/>
      <c r="I142" t="s">
        <v>1006</v>
      </c>
      <c r="J142" s="11">
        <v>1975</v>
      </c>
      <c r="K142" s="10">
        <v>45056</v>
      </c>
      <c r="L142" t="s">
        <v>1007</v>
      </c>
      <c r="M142" t="s">
        <v>1008</v>
      </c>
      <c r="N142" s="107" t="str">
        <f>IF(_xlfn.NUMBERVALUE(DATEDIF(J142,K142,"Y"))-Table1[[#This Row],[Κατηγορία]]&lt;0,"* Check Age *","")</f>
        <v/>
      </c>
    </row>
    <row r="143" spans="1:14" ht="18" hidden="1" customHeight="1" x14ac:dyDescent="0.2">
      <c r="A143" s="9" t="s">
        <v>1155</v>
      </c>
      <c r="B143" s="9" t="s">
        <v>1161</v>
      </c>
      <c r="C143" s="12" t="s">
        <v>1259</v>
      </c>
      <c r="D143" s="9"/>
      <c r="E143" s="11" t="s">
        <v>1186</v>
      </c>
      <c r="F143" s="52" t="s">
        <v>1065</v>
      </c>
      <c r="I143" t="s">
        <v>129</v>
      </c>
      <c r="J143" s="10">
        <v>27181</v>
      </c>
      <c r="K143" s="10">
        <v>45466</v>
      </c>
      <c r="L143" t="s">
        <v>1009</v>
      </c>
      <c r="M143" t="s">
        <v>536</v>
      </c>
      <c r="N143" s="107" t="str">
        <f>IF(_xlfn.NUMBERVALUE(DATEDIF(J143,K143,"Y"))-Table1[[#This Row],[Κατηγορία]]&lt;0,"* Check Age *","")</f>
        <v/>
      </c>
    </row>
    <row r="144" spans="1:14" ht="18" hidden="1" customHeight="1" x14ac:dyDescent="0.2">
      <c r="A144" s="9" t="s">
        <v>1155</v>
      </c>
      <c r="B144" s="9" t="s">
        <v>1161</v>
      </c>
      <c r="C144" s="12" t="s">
        <v>1260</v>
      </c>
      <c r="D144" s="9"/>
      <c r="E144" s="11" t="s">
        <v>1186</v>
      </c>
      <c r="F144" s="52" t="s">
        <v>1067</v>
      </c>
      <c r="I144" t="s">
        <v>1066</v>
      </c>
      <c r="J144" s="10">
        <v>24440</v>
      </c>
      <c r="K144" s="10">
        <v>45466</v>
      </c>
      <c r="L144" t="s">
        <v>1009</v>
      </c>
      <c r="M144" t="s">
        <v>536</v>
      </c>
      <c r="N144" s="107" t="str">
        <f>IF(_xlfn.NUMBERVALUE(DATEDIF(J144,K144,"Y"))-Table1[[#This Row],[Κατηγορία]]&lt;0,"* Check Age *","")</f>
        <v/>
      </c>
    </row>
    <row r="145" spans="1:14" ht="18" hidden="1" customHeight="1" x14ac:dyDescent="0.2">
      <c r="A145" s="9" t="s">
        <v>1155</v>
      </c>
      <c r="B145" s="9" t="s">
        <v>1161</v>
      </c>
      <c r="C145" s="12" t="s">
        <v>1261</v>
      </c>
      <c r="D145" s="9"/>
      <c r="E145" s="11" t="s">
        <v>1186</v>
      </c>
      <c r="F145" s="52" t="s">
        <v>190</v>
      </c>
      <c r="I145" t="s">
        <v>165</v>
      </c>
      <c r="J145" s="10">
        <v>20696</v>
      </c>
      <c r="K145" s="10">
        <v>43407</v>
      </c>
      <c r="L145" t="s">
        <v>27</v>
      </c>
      <c r="M145" t="s">
        <v>177</v>
      </c>
      <c r="N145" s="107" t="str">
        <f>IF(_xlfn.NUMBERVALUE(DATEDIF(J145,K145,"Y"))-Table1[[#This Row],[Κατηγορία]]&lt;0,"* Check Age *","")</f>
        <v/>
      </c>
    </row>
    <row r="146" spans="1:14" ht="18" hidden="1" customHeight="1" x14ac:dyDescent="0.2">
      <c r="A146" s="9" t="s">
        <v>1155</v>
      </c>
      <c r="B146" s="9" t="s">
        <v>1161</v>
      </c>
      <c r="C146" s="12" t="s">
        <v>1262</v>
      </c>
      <c r="D146" s="9"/>
      <c r="E146" s="11" t="s">
        <v>1186</v>
      </c>
      <c r="F146" s="52" t="s">
        <v>925</v>
      </c>
      <c r="I146" t="s">
        <v>165</v>
      </c>
      <c r="J146" s="10">
        <v>20696</v>
      </c>
      <c r="K146" s="10">
        <v>44870</v>
      </c>
      <c r="L146" t="s">
        <v>27</v>
      </c>
      <c r="M146" t="s">
        <v>177</v>
      </c>
      <c r="N146" s="107" t="str">
        <f>IF(_xlfn.NUMBERVALUE(DATEDIF(J146,K146,"Y"))-Table1[[#This Row],[Κατηγορία]]&lt;0,"* Check Age *","")</f>
        <v/>
      </c>
    </row>
    <row r="147" spans="1:14" ht="18" hidden="1" customHeight="1" x14ac:dyDescent="0.2">
      <c r="A147" s="9" t="s">
        <v>1155</v>
      </c>
      <c r="B147" s="9" t="s">
        <v>1161</v>
      </c>
      <c r="C147" s="12" t="s">
        <v>1263</v>
      </c>
      <c r="D147" s="9"/>
      <c r="E147" s="11" t="s">
        <v>1186</v>
      </c>
      <c r="F147" s="52" t="s">
        <v>1408</v>
      </c>
      <c r="I147" t="s">
        <v>162</v>
      </c>
      <c r="J147" s="10">
        <v>20038</v>
      </c>
      <c r="K147" s="10">
        <v>45899</v>
      </c>
      <c r="L147" s="1" t="s">
        <v>1409</v>
      </c>
      <c r="M147" t="s">
        <v>15</v>
      </c>
      <c r="N147" s="107" t="str">
        <f>IF(_xlfn.NUMBERVALUE(DATEDIF(J147,K147,"Y"))-Table1[[#This Row],[Κατηγορία]]&lt;0,"* Check Age *","")</f>
        <v/>
      </c>
    </row>
    <row r="148" spans="1:14" ht="18" hidden="1" customHeight="1" x14ac:dyDescent="0.2">
      <c r="A148" s="9" t="s">
        <v>1155</v>
      </c>
      <c r="B148" s="9" t="s">
        <v>1161</v>
      </c>
      <c r="C148" s="12" t="s">
        <v>1264</v>
      </c>
      <c r="D148" s="9"/>
      <c r="E148" s="11" t="s">
        <v>1186</v>
      </c>
      <c r="F148" s="52" t="s">
        <v>150</v>
      </c>
      <c r="I148" t="s">
        <v>100</v>
      </c>
      <c r="J148" s="10">
        <v>12320</v>
      </c>
      <c r="K148" s="11">
        <v>2009</v>
      </c>
      <c r="L148" t="s">
        <v>44</v>
      </c>
      <c r="N148" s="107"/>
    </row>
    <row r="149" spans="1:14" ht="18" hidden="1" customHeight="1" x14ac:dyDescent="0.2">
      <c r="A149" s="9" t="s">
        <v>1155</v>
      </c>
      <c r="B149" s="9" t="s">
        <v>1161</v>
      </c>
      <c r="C149" s="12" t="s">
        <v>1265</v>
      </c>
      <c r="D149" s="9"/>
      <c r="E149" s="11" t="s">
        <v>1186</v>
      </c>
      <c r="F149" s="52" t="s">
        <v>151</v>
      </c>
      <c r="I149" t="s">
        <v>152</v>
      </c>
      <c r="J149" s="11">
        <v>1934</v>
      </c>
      <c r="K149" s="11">
        <v>2014</v>
      </c>
      <c r="L149" t="s">
        <v>55</v>
      </c>
      <c r="N149" s="107"/>
    </row>
    <row r="150" spans="1:14" ht="18" hidden="1" customHeight="1" x14ac:dyDescent="0.2">
      <c r="A150" s="9" t="s">
        <v>1202</v>
      </c>
      <c r="B150" s="9" t="s">
        <v>1161</v>
      </c>
      <c r="C150" s="23" t="s">
        <v>1256</v>
      </c>
      <c r="D150" s="9"/>
      <c r="E150" s="11" t="s">
        <v>1186</v>
      </c>
      <c r="F150" s="57" t="s">
        <v>583</v>
      </c>
      <c r="G150" s="1"/>
      <c r="H150" s="58"/>
      <c r="I150" s="1" t="s">
        <v>584</v>
      </c>
      <c r="J150" s="15">
        <v>28346</v>
      </c>
      <c r="K150" s="15">
        <v>41437</v>
      </c>
      <c r="L150" s="1" t="s">
        <v>130</v>
      </c>
      <c r="M150" s="1" t="s">
        <v>131</v>
      </c>
      <c r="N150" s="107" t="str">
        <f>IF(_xlfn.NUMBERVALUE(DATEDIF(J150,K150,"Y"))-Table1[[#This Row],[Κατηγορία]]&lt;0,"* Check Age *","")</f>
        <v/>
      </c>
    </row>
    <row r="151" spans="1:14" ht="18" hidden="1" customHeight="1" x14ac:dyDescent="0.2">
      <c r="A151" s="9" t="s">
        <v>1202</v>
      </c>
      <c r="B151" s="9" t="s">
        <v>1161</v>
      </c>
      <c r="C151" s="23" t="s">
        <v>1257</v>
      </c>
      <c r="D151" s="9"/>
      <c r="E151" s="11" t="s">
        <v>1186</v>
      </c>
      <c r="F151" s="57" t="s">
        <v>283</v>
      </c>
      <c r="G151" s="1"/>
      <c r="H151" s="58"/>
      <c r="I151" s="1" t="s">
        <v>999</v>
      </c>
      <c r="J151" s="15">
        <v>27948</v>
      </c>
      <c r="K151" s="15">
        <v>43285</v>
      </c>
      <c r="L151" s="1" t="s">
        <v>276</v>
      </c>
      <c r="M151" s="1" t="s">
        <v>282</v>
      </c>
      <c r="N151" s="107" t="str">
        <f>IF(_xlfn.NUMBERVALUE(DATEDIF(J151,K151,"Y"))-Table1[[#This Row],[Κατηγορία]]&lt;0,"* Check Age *","")</f>
        <v/>
      </c>
    </row>
    <row r="152" spans="1:14" ht="18" hidden="1" customHeight="1" x14ac:dyDescent="0.2">
      <c r="A152" s="9" t="s">
        <v>1202</v>
      </c>
      <c r="B152" s="9" t="s">
        <v>1161</v>
      </c>
      <c r="C152" s="23" t="s">
        <v>1258</v>
      </c>
      <c r="D152" s="9"/>
      <c r="E152" s="11" t="s">
        <v>1186</v>
      </c>
      <c r="F152" s="67" t="s">
        <v>953</v>
      </c>
      <c r="G152" s="68"/>
      <c r="H152" s="92"/>
      <c r="I152" s="1" t="s">
        <v>735</v>
      </c>
      <c r="J152" s="15">
        <v>27290</v>
      </c>
      <c r="K152" s="15">
        <v>45066</v>
      </c>
      <c r="L152" s="1" t="s">
        <v>27</v>
      </c>
      <c r="M152" s="1" t="s">
        <v>816</v>
      </c>
      <c r="N152" s="107" t="str">
        <f>IF(_xlfn.NUMBERVALUE(DATEDIF(J152,K152,"Y"))-Table1[[#This Row],[Κατηγορία]]&lt;0,"* Check Age *","")</f>
        <v/>
      </c>
    </row>
    <row r="153" spans="1:14" ht="18" hidden="1" customHeight="1" x14ac:dyDescent="0.2">
      <c r="A153" s="9" t="s">
        <v>1202</v>
      </c>
      <c r="B153" s="9" t="s">
        <v>1161</v>
      </c>
      <c r="C153" s="23" t="s">
        <v>1259</v>
      </c>
      <c r="D153" s="9"/>
      <c r="E153" s="11" t="s">
        <v>1186</v>
      </c>
      <c r="F153" s="57" t="s">
        <v>1285</v>
      </c>
      <c r="G153" s="1"/>
      <c r="H153" s="58"/>
      <c r="I153" s="1" t="s">
        <v>1030</v>
      </c>
      <c r="J153" s="15">
        <v>27132</v>
      </c>
      <c r="K153" s="15">
        <v>45809</v>
      </c>
      <c r="L153" s="1" t="s">
        <v>95</v>
      </c>
      <c r="M153" s="1" t="s">
        <v>1047</v>
      </c>
      <c r="N153" s="107"/>
    </row>
    <row r="154" spans="1:14" ht="18" hidden="1" customHeight="1" x14ac:dyDescent="0.2">
      <c r="A154" s="9" t="s">
        <v>1202</v>
      </c>
      <c r="B154" s="9" t="s">
        <v>1161</v>
      </c>
      <c r="C154" s="23" t="s">
        <v>1260</v>
      </c>
      <c r="D154" s="9"/>
      <c r="E154" s="11" t="s">
        <v>1186</v>
      </c>
      <c r="F154" s="57" t="s">
        <v>1291</v>
      </c>
      <c r="G154" s="1"/>
      <c r="H154" s="58"/>
      <c r="I154" s="1" t="s">
        <v>941</v>
      </c>
      <c r="J154" s="15">
        <v>25631</v>
      </c>
      <c r="K154" s="15">
        <v>45815</v>
      </c>
      <c r="L154" s="1" t="s">
        <v>1289</v>
      </c>
      <c r="M154" s="1" t="s">
        <v>1288</v>
      </c>
      <c r="N154" s="107" t="str">
        <f>IF(_xlfn.NUMBERVALUE(DATEDIF(J154,K154,"Y"))-Table1[[#This Row],[Κατηγορία]]&lt;0,"* Check Age *","")</f>
        <v/>
      </c>
    </row>
    <row r="155" spans="1:14" ht="18" hidden="1" customHeight="1" x14ac:dyDescent="0.2">
      <c r="A155" s="9" t="s">
        <v>1202</v>
      </c>
      <c r="B155" s="9" t="s">
        <v>1161</v>
      </c>
      <c r="C155" s="23" t="s">
        <v>1261</v>
      </c>
      <c r="D155" s="9"/>
      <c r="E155" s="11" t="s">
        <v>1186</v>
      </c>
      <c r="F155" s="57" t="s">
        <v>1102</v>
      </c>
      <c r="G155" s="1"/>
      <c r="H155" s="58"/>
      <c r="I155" s="1" t="s">
        <v>594</v>
      </c>
      <c r="J155" s="15">
        <v>23105</v>
      </c>
      <c r="K155" s="15">
        <v>45564</v>
      </c>
      <c r="L155" s="1" t="s">
        <v>1101</v>
      </c>
      <c r="M155" s="1" t="s">
        <v>15</v>
      </c>
      <c r="N155" s="107" t="str">
        <f>IF(_xlfn.NUMBERVALUE(DATEDIF(J155,K155,"Y"))-Table1[[#This Row],[Κατηγορία]]&lt;0,"* Check Age *","")</f>
        <v/>
      </c>
    </row>
    <row r="156" spans="1:14" ht="18" hidden="1" customHeight="1" x14ac:dyDescent="0.2">
      <c r="A156" s="9" t="s">
        <v>1202</v>
      </c>
      <c r="B156" s="9" t="s">
        <v>1161</v>
      </c>
      <c r="C156" s="23" t="s">
        <v>1262</v>
      </c>
      <c r="D156" s="9"/>
      <c r="E156" s="11" t="s">
        <v>1186</v>
      </c>
      <c r="F156" s="57" t="s">
        <v>1119</v>
      </c>
      <c r="G156" s="1"/>
      <c r="H156" s="58"/>
      <c r="I156" s="1" t="s">
        <v>1120</v>
      </c>
      <c r="J156" s="15">
        <v>21856</v>
      </c>
      <c r="K156" s="15">
        <v>45626</v>
      </c>
      <c r="L156" s="1" t="s">
        <v>27</v>
      </c>
      <c r="M156" s="1" t="s">
        <v>177</v>
      </c>
      <c r="N156" s="107" t="str">
        <f>IF(_xlfn.NUMBERVALUE(DATEDIF(J156,K156,"Y"))-Table1[[#This Row],[Κατηγορία]]&lt;0,"* Check Age *","")</f>
        <v/>
      </c>
    </row>
    <row r="157" spans="1:14" ht="18" hidden="1" customHeight="1" x14ac:dyDescent="0.2">
      <c r="A157" s="9" t="s">
        <v>1202</v>
      </c>
      <c r="B157" s="9" t="s">
        <v>1161</v>
      </c>
      <c r="C157" s="23" t="s">
        <v>1263</v>
      </c>
      <c r="D157" s="9"/>
      <c r="E157" s="11" t="s">
        <v>1186</v>
      </c>
      <c r="F157" s="57" t="s">
        <v>1103</v>
      </c>
      <c r="G157" s="1"/>
      <c r="H157" s="58"/>
      <c r="I157" s="1" t="s">
        <v>1104</v>
      </c>
      <c r="J157" s="15">
        <v>19178</v>
      </c>
      <c r="K157" s="15">
        <v>45564</v>
      </c>
      <c r="L157" s="1" t="s">
        <v>1101</v>
      </c>
      <c r="M157" s="1" t="s">
        <v>15</v>
      </c>
      <c r="N157" s="107" t="str">
        <f>IF(_xlfn.NUMBERVALUE(DATEDIF(J157,K157,"Y"))-Table1[[#This Row],[Κατηγορία]]&lt;0,"* Check Age *","")</f>
        <v/>
      </c>
    </row>
    <row r="158" spans="1:14" ht="18" hidden="1" customHeight="1" x14ac:dyDescent="0.2">
      <c r="A158" s="9" t="s">
        <v>1202</v>
      </c>
      <c r="B158" s="9" t="s">
        <v>1161</v>
      </c>
      <c r="C158" s="23" t="s">
        <v>1264</v>
      </c>
      <c r="D158" s="9"/>
      <c r="E158" s="11" t="s">
        <v>1186</v>
      </c>
      <c r="F158" s="57" t="s">
        <v>585</v>
      </c>
      <c r="G158" s="1"/>
      <c r="H158" s="58"/>
      <c r="I158" s="1" t="s">
        <v>286</v>
      </c>
      <c r="J158" s="15">
        <v>12394</v>
      </c>
      <c r="K158" s="23">
        <v>2008</v>
      </c>
      <c r="L158" s="1" t="s">
        <v>44</v>
      </c>
      <c r="M158" s="1"/>
      <c r="N158" s="107"/>
    </row>
    <row r="159" spans="1:14" ht="18" hidden="1" customHeight="1" x14ac:dyDescent="0.2">
      <c r="A159" s="9" t="s">
        <v>1155</v>
      </c>
      <c r="B159" s="9" t="s">
        <v>1171</v>
      </c>
      <c r="C159" s="12" t="s">
        <v>1256</v>
      </c>
      <c r="D159" s="9"/>
      <c r="E159" s="11" t="s">
        <v>1186</v>
      </c>
      <c r="F159" s="52" t="s">
        <v>737</v>
      </c>
      <c r="I159" t="s">
        <v>738</v>
      </c>
      <c r="J159" s="11">
        <v>1965</v>
      </c>
      <c r="K159" s="11">
        <v>2012</v>
      </c>
      <c r="L159" t="s">
        <v>95</v>
      </c>
      <c r="N159" s="107"/>
    </row>
    <row r="160" spans="1:14" ht="18" hidden="1" customHeight="1" x14ac:dyDescent="0.2">
      <c r="A160" s="9" t="s">
        <v>1155</v>
      </c>
      <c r="B160" s="9" t="s">
        <v>1171</v>
      </c>
      <c r="C160" s="12" t="s">
        <v>1257</v>
      </c>
      <c r="D160" s="9"/>
      <c r="E160" s="11" t="s">
        <v>1186</v>
      </c>
      <c r="F160" s="52" t="s">
        <v>348</v>
      </c>
      <c r="I160" s="61" t="s">
        <v>306</v>
      </c>
      <c r="J160" s="11">
        <v>1963</v>
      </c>
      <c r="K160" s="11">
        <v>2003</v>
      </c>
      <c r="L160" t="s">
        <v>44</v>
      </c>
      <c r="N160" s="107"/>
    </row>
    <row r="161" spans="1:14" ht="18" hidden="1" customHeight="1" x14ac:dyDescent="0.2">
      <c r="A161" s="9" t="s">
        <v>1155</v>
      </c>
      <c r="B161" s="9" t="s">
        <v>1171</v>
      </c>
      <c r="C161" s="12" t="s">
        <v>1258</v>
      </c>
      <c r="D161" s="9"/>
      <c r="E161" s="11" t="s">
        <v>1186</v>
      </c>
      <c r="F161" s="52" t="s">
        <v>349</v>
      </c>
      <c r="I161" t="s">
        <v>344</v>
      </c>
      <c r="J161" s="10">
        <v>18836</v>
      </c>
      <c r="K161" s="11">
        <v>1997</v>
      </c>
      <c r="L161" t="s">
        <v>44</v>
      </c>
      <c r="N161" s="107"/>
    </row>
    <row r="162" spans="1:14" ht="18" hidden="1" customHeight="1" x14ac:dyDescent="0.2">
      <c r="A162" s="9" t="s">
        <v>1155</v>
      </c>
      <c r="B162" s="9" t="s">
        <v>1171</v>
      </c>
      <c r="C162" s="12" t="s">
        <v>1259</v>
      </c>
      <c r="D162" s="9"/>
      <c r="E162" s="11" t="s">
        <v>1186</v>
      </c>
      <c r="F162" s="52" t="s">
        <v>593</v>
      </c>
      <c r="I162" t="s">
        <v>345</v>
      </c>
      <c r="J162" s="10">
        <v>19482</v>
      </c>
      <c r="K162" s="11">
        <v>2003</v>
      </c>
      <c r="L162" t="s">
        <v>44</v>
      </c>
      <c r="N162" s="107"/>
    </row>
    <row r="163" spans="1:14" ht="18" hidden="1" customHeight="1" x14ac:dyDescent="0.2">
      <c r="A163" s="9" t="s">
        <v>1155</v>
      </c>
      <c r="B163" s="9" t="s">
        <v>1171</v>
      </c>
      <c r="C163" s="12" t="s">
        <v>1260</v>
      </c>
      <c r="D163" s="9"/>
      <c r="E163" s="11" t="s">
        <v>1186</v>
      </c>
      <c r="F163" s="52" t="s">
        <v>350</v>
      </c>
      <c r="I163" t="s">
        <v>351</v>
      </c>
      <c r="J163" s="11">
        <v>1940</v>
      </c>
      <c r="K163" s="11">
        <v>1997</v>
      </c>
      <c r="L163" t="s">
        <v>122</v>
      </c>
      <c r="N163" s="107"/>
    </row>
    <row r="164" spans="1:14" ht="18" hidden="1" customHeight="1" x14ac:dyDescent="0.2">
      <c r="A164" s="9" t="s">
        <v>1155</v>
      </c>
      <c r="B164" s="9" t="s">
        <v>1171</v>
      </c>
      <c r="C164" s="12" t="s">
        <v>1261</v>
      </c>
      <c r="D164" s="9"/>
      <c r="E164" s="11" t="s">
        <v>1186</v>
      </c>
      <c r="F164" s="52" t="s">
        <v>352</v>
      </c>
      <c r="I164" t="s">
        <v>346</v>
      </c>
      <c r="J164" s="10">
        <v>13180</v>
      </c>
      <c r="K164" s="11">
        <v>1996</v>
      </c>
      <c r="L164" t="s">
        <v>353</v>
      </c>
      <c r="N164" s="107"/>
    </row>
    <row r="165" spans="1:14" ht="18" hidden="1" customHeight="1" x14ac:dyDescent="0.2">
      <c r="A165" s="9" t="s">
        <v>1155</v>
      </c>
      <c r="B165" s="9" t="s">
        <v>1171</v>
      </c>
      <c r="C165" s="12" t="s">
        <v>1262</v>
      </c>
      <c r="D165" s="9"/>
      <c r="E165" s="11" t="s">
        <v>1186</v>
      </c>
      <c r="F165" s="52" t="s">
        <v>354</v>
      </c>
      <c r="I165" t="s">
        <v>346</v>
      </c>
      <c r="J165" s="10">
        <v>13180</v>
      </c>
      <c r="K165" s="11">
        <v>2003</v>
      </c>
      <c r="L165" t="s">
        <v>44</v>
      </c>
      <c r="N165" s="107"/>
    </row>
    <row r="166" spans="1:14" ht="18" hidden="1" customHeight="1" x14ac:dyDescent="0.2">
      <c r="A166" s="9" t="s">
        <v>1155</v>
      </c>
      <c r="B166" s="9" t="s">
        <v>1171</v>
      </c>
      <c r="C166" s="12" t="s">
        <v>1263</v>
      </c>
      <c r="D166" s="9"/>
      <c r="E166" s="11" t="s">
        <v>1186</v>
      </c>
      <c r="F166" s="52" t="s">
        <v>355</v>
      </c>
      <c r="I166" t="s">
        <v>356</v>
      </c>
      <c r="J166" s="10">
        <v>13558</v>
      </c>
      <c r="K166" s="11">
        <v>2010</v>
      </c>
      <c r="L166" t="s">
        <v>44</v>
      </c>
      <c r="N166" s="107"/>
    </row>
    <row r="167" spans="1:14" ht="18" hidden="1" customHeight="1" x14ac:dyDescent="0.2">
      <c r="A167" s="9" t="s">
        <v>1155</v>
      </c>
      <c r="B167" s="9" t="s">
        <v>1171</v>
      </c>
      <c r="C167" s="12" t="s">
        <v>1264</v>
      </c>
      <c r="D167" s="9"/>
      <c r="E167" s="11" t="s">
        <v>1186</v>
      </c>
      <c r="F167" s="52" t="s">
        <v>357</v>
      </c>
      <c r="I167" t="s">
        <v>347</v>
      </c>
      <c r="J167" s="10">
        <v>16314</v>
      </c>
      <c r="K167" s="11">
        <v>2019</v>
      </c>
      <c r="L167" t="s">
        <v>27</v>
      </c>
      <c r="N167" s="107"/>
    </row>
    <row r="168" spans="1:14" ht="18" hidden="1" customHeight="1" x14ac:dyDescent="0.2">
      <c r="A168" s="9" t="s">
        <v>1155</v>
      </c>
      <c r="B168" s="9" t="s">
        <v>1171</v>
      </c>
      <c r="C168" s="12" t="s">
        <v>1265</v>
      </c>
      <c r="D168" s="9"/>
      <c r="E168" s="11" t="s">
        <v>1186</v>
      </c>
      <c r="F168" s="52" t="s">
        <v>1410</v>
      </c>
      <c r="I168" t="s">
        <v>347</v>
      </c>
      <c r="J168" s="10">
        <v>16314</v>
      </c>
      <c r="K168" s="54">
        <v>45899</v>
      </c>
      <c r="L168" s="1" t="s">
        <v>1409</v>
      </c>
      <c r="M168" s="1" t="s">
        <v>15</v>
      </c>
      <c r="N168" s="107" t="str">
        <f>IF(_xlfn.NUMBERVALUE(DATEDIF(J168,K168,"Y"))-Table1[[#This Row],[Κατηγορία]]&lt;0,"* Check Age *","")</f>
        <v/>
      </c>
    </row>
    <row r="169" spans="1:14" ht="18" hidden="1" customHeight="1" x14ac:dyDescent="0.2">
      <c r="A169" s="9" t="s">
        <v>1155</v>
      </c>
      <c r="B169" s="9" t="s">
        <v>1171</v>
      </c>
      <c r="C169" s="12" t="s">
        <v>1266</v>
      </c>
      <c r="D169" s="9"/>
      <c r="E169" s="11" t="s">
        <v>1186</v>
      </c>
      <c r="F169" s="52" t="s">
        <v>798</v>
      </c>
      <c r="I169" t="s">
        <v>100</v>
      </c>
      <c r="J169" s="10">
        <v>12320</v>
      </c>
      <c r="K169" s="10">
        <v>44499</v>
      </c>
      <c r="L169" t="s">
        <v>27</v>
      </c>
      <c r="M169" t="s">
        <v>753</v>
      </c>
      <c r="N169" s="107" t="str">
        <f>IF(_xlfn.NUMBERVALUE(DATEDIF(J169,K169,"Y"))-Table1[[#This Row],[Κατηγορία]]&lt;0,"* Check Age *","")</f>
        <v/>
      </c>
    </row>
    <row r="170" spans="1:14" ht="18" hidden="1" customHeight="1" x14ac:dyDescent="0.2">
      <c r="A170" s="9" t="s">
        <v>1155</v>
      </c>
      <c r="B170" s="9" t="s">
        <v>1171</v>
      </c>
      <c r="C170" s="23">
        <v>90</v>
      </c>
      <c r="D170" s="9"/>
      <c r="E170" s="11" t="s">
        <v>1186</v>
      </c>
      <c r="F170" s="67" t="s">
        <v>1379</v>
      </c>
      <c r="G170" s="11"/>
      <c r="H170"/>
      <c r="I170" t="s">
        <v>100</v>
      </c>
      <c r="J170" s="10">
        <v>12320</v>
      </c>
      <c r="K170" s="10">
        <v>45844</v>
      </c>
      <c r="L170" t="s">
        <v>44</v>
      </c>
      <c r="M170" t="s">
        <v>957</v>
      </c>
      <c r="N170" s="107" t="str">
        <f>IF(_xlfn.NUMBERVALUE(DATEDIF(J170,K170,"Y"))-Table1[[#This Row],[Κατηγορία]]&lt;0,"* Check Age *","")</f>
        <v/>
      </c>
    </row>
    <row r="171" spans="1:14" ht="18" hidden="1" customHeight="1" x14ac:dyDescent="0.2">
      <c r="A171" s="9" t="s">
        <v>1202</v>
      </c>
      <c r="B171" s="9" t="s">
        <v>1171</v>
      </c>
      <c r="C171" s="23" t="s">
        <v>1256</v>
      </c>
      <c r="D171" s="9"/>
      <c r="E171" s="11" t="s">
        <v>1186</v>
      </c>
      <c r="F171" s="57" t="s">
        <v>619</v>
      </c>
      <c r="G171" s="1"/>
      <c r="H171" s="58"/>
      <c r="I171" s="1" t="s">
        <v>618</v>
      </c>
      <c r="J171" s="15">
        <v>24465</v>
      </c>
      <c r="K171" s="23">
        <v>1999</v>
      </c>
      <c r="L171" s="1" t="s">
        <v>122</v>
      </c>
      <c r="M171" s="1" t="s">
        <v>343</v>
      </c>
      <c r="N171" s="107"/>
    </row>
    <row r="172" spans="1:14" ht="18" hidden="1" customHeight="1" x14ac:dyDescent="0.2">
      <c r="A172" s="9" t="s">
        <v>1202</v>
      </c>
      <c r="B172" s="9" t="s">
        <v>1171</v>
      </c>
      <c r="C172" s="23" t="s">
        <v>1257</v>
      </c>
      <c r="D172" s="9"/>
      <c r="E172" s="11" t="s">
        <v>1186</v>
      </c>
      <c r="F172" s="57" t="s">
        <v>620</v>
      </c>
      <c r="G172" s="1"/>
      <c r="H172" s="58"/>
      <c r="I172" s="1" t="s">
        <v>618</v>
      </c>
      <c r="J172" s="15">
        <v>24465</v>
      </c>
      <c r="K172" s="23">
        <v>2008</v>
      </c>
      <c r="L172" s="1" t="s">
        <v>44</v>
      </c>
      <c r="M172" s="1"/>
      <c r="N172" s="107"/>
    </row>
    <row r="173" spans="1:14" ht="18" hidden="1" customHeight="1" x14ac:dyDescent="0.2">
      <c r="A173" s="9" t="s">
        <v>1202</v>
      </c>
      <c r="B173" s="9" t="s">
        <v>1171</v>
      </c>
      <c r="C173" s="23" t="s">
        <v>1258</v>
      </c>
      <c r="D173" s="9"/>
      <c r="E173" s="11" t="s">
        <v>1186</v>
      </c>
      <c r="F173" s="57" t="s">
        <v>621</v>
      </c>
      <c r="G173" s="1"/>
      <c r="H173" s="58"/>
      <c r="I173" s="1" t="s">
        <v>618</v>
      </c>
      <c r="J173" s="15">
        <v>24465</v>
      </c>
      <c r="K173" s="23"/>
      <c r="L173" s="1" t="s">
        <v>145</v>
      </c>
      <c r="M173" s="1"/>
      <c r="N173" s="107"/>
    </row>
    <row r="174" spans="1:14" ht="18" hidden="1" customHeight="1" x14ac:dyDescent="0.2">
      <c r="A174" s="9" t="s">
        <v>1202</v>
      </c>
      <c r="B174" s="9" t="s">
        <v>1171</v>
      </c>
      <c r="C174" s="23" t="s">
        <v>1259</v>
      </c>
      <c r="D174" s="9"/>
      <c r="E174" s="11" t="s">
        <v>1186</v>
      </c>
      <c r="F174" s="57" t="s">
        <v>622</v>
      </c>
      <c r="G174" s="1"/>
      <c r="H174" s="58"/>
      <c r="I174" s="1" t="s">
        <v>623</v>
      </c>
      <c r="J174" s="15">
        <v>25489</v>
      </c>
      <c r="K174" s="23">
        <v>2015</v>
      </c>
      <c r="L174" s="1" t="s">
        <v>44</v>
      </c>
      <c r="M174" s="1"/>
      <c r="N174" s="107"/>
    </row>
    <row r="175" spans="1:14" ht="18" hidden="1" customHeight="1" x14ac:dyDescent="0.2">
      <c r="A175" s="9" t="s">
        <v>1202</v>
      </c>
      <c r="B175" s="9" t="s">
        <v>1171</v>
      </c>
      <c r="C175" s="23" t="s">
        <v>1260</v>
      </c>
      <c r="D175" s="9"/>
      <c r="E175" s="11" t="s">
        <v>1186</v>
      </c>
      <c r="F175" s="57" t="s">
        <v>821</v>
      </c>
      <c r="G175" s="1"/>
      <c r="H175" s="58"/>
      <c r="I175" s="1" t="s">
        <v>618</v>
      </c>
      <c r="J175" s="15">
        <v>24465</v>
      </c>
      <c r="K175" s="15">
        <v>44709</v>
      </c>
      <c r="L175" s="1" t="s">
        <v>44</v>
      </c>
      <c r="M175" s="1" t="s">
        <v>726</v>
      </c>
      <c r="N175" s="107" t="str">
        <f>IF(_xlfn.NUMBERVALUE(DATEDIF(J175,K175,"Y"))-Table1[[#This Row],[Κατηγορία]]&lt;0,"* Check Age *","")</f>
        <v/>
      </c>
    </row>
    <row r="176" spans="1:14" ht="18" hidden="1" customHeight="1" x14ac:dyDescent="0.2">
      <c r="A176" s="9" t="s">
        <v>1202</v>
      </c>
      <c r="B176" s="9" t="s">
        <v>1171</v>
      </c>
      <c r="C176" s="23" t="s">
        <v>1261</v>
      </c>
      <c r="D176" s="9"/>
      <c r="E176" s="11" t="s">
        <v>1186</v>
      </c>
      <c r="F176" s="57" t="s">
        <v>1127</v>
      </c>
      <c r="G176" s="1"/>
      <c r="H176" s="58"/>
      <c r="I176" t="s">
        <v>1000</v>
      </c>
      <c r="J176" s="13">
        <v>21892</v>
      </c>
      <c r="K176" s="15">
        <v>45626</v>
      </c>
      <c r="L176" s="1" t="s">
        <v>1001</v>
      </c>
      <c r="M176" s="1" t="s">
        <v>177</v>
      </c>
      <c r="N176" s="107" t="str">
        <f>IF(_xlfn.NUMBERVALUE(DATEDIF(J176,K176,"Y"))-Table1[[#This Row],[Κατηγορία]]&lt;0,"* Check Age *","")</f>
        <v/>
      </c>
    </row>
    <row r="177" spans="1:15" ht="18" hidden="1" customHeight="1" x14ac:dyDescent="0.2">
      <c r="A177" s="9" t="s">
        <v>1202</v>
      </c>
      <c r="B177" s="9" t="s">
        <v>1171</v>
      </c>
      <c r="C177" s="23" t="s">
        <v>1262</v>
      </c>
      <c r="D177" s="9"/>
      <c r="E177" s="11" t="s">
        <v>1186</v>
      </c>
      <c r="F177" s="57" t="s">
        <v>1411</v>
      </c>
      <c r="G177" s="1"/>
      <c r="H177" s="58"/>
      <c r="I177" t="s">
        <v>1000</v>
      </c>
      <c r="J177" s="13">
        <v>21892</v>
      </c>
      <c r="K177" s="15">
        <v>45899</v>
      </c>
      <c r="L177" s="1" t="s">
        <v>1409</v>
      </c>
      <c r="M177" s="1" t="s">
        <v>15</v>
      </c>
      <c r="N177" s="107" t="str">
        <f>IF(_xlfn.NUMBERVALUE(DATEDIF(J177,K177,"Y"))-Table1[[#This Row],[Κατηγορία]]&lt;0,"* Check Age *","")</f>
        <v/>
      </c>
    </row>
    <row r="178" spans="1:15" ht="18" hidden="1" customHeight="1" x14ac:dyDescent="0.2">
      <c r="A178" s="9" t="s">
        <v>1202</v>
      </c>
      <c r="B178" s="9" t="s">
        <v>1171</v>
      </c>
      <c r="C178" s="23" t="s">
        <v>1263</v>
      </c>
      <c r="D178" s="9"/>
      <c r="E178" s="11" t="s">
        <v>1186</v>
      </c>
      <c r="F178" s="57" t="s">
        <v>730</v>
      </c>
      <c r="G178" s="1"/>
      <c r="H178" s="58"/>
      <c r="I178" s="1" t="s">
        <v>731</v>
      </c>
      <c r="J178" s="15">
        <v>18095</v>
      </c>
      <c r="K178" s="15">
        <v>43863</v>
      </c>
      <c r="L178" s="1" t="s">
        <v>86</v>
      </c>
      <c r="M178" s="1" t="s">
        <v>45</v>
      </c>
      <c r="N178" s="107" t="str">
        <f>IF(_xlfn.NUMBERVALUE(DATEDIF(J178,K178,"Y"))-Table1[[#This Row],[Κατηγορία]]&lt;0,"* Check Age *","")</f>
        <v/>
      </c>
    </row>
    <row r="179" spans="1:15" ht="18" hidden="1" customHeight="1" x14ac:dyDescent="0.2">
      <c r="A179" s="9" t="s">
        <v>1202</v>
      </c>
      <c r="B179" s="9" t="s">
        <v>1171</v>
      </c>
      <c r="C179" s="23" t="s">
        <v>1265</v>
      </c>
      <c r="D179" s="9"/>
      <c r="E179" s="11" t="s">
        <v>1186</v>
      </c>
      <c r="F179" s="57" t="s">
        <v>733</v>
      </c>
      <c r="G179" s="1"/>
      <c r="H179" s="58"/>
      <c r="I179" s="1" t="s">
        <v>734</v>
      </c>
      <c r="J179" s="23"/>
      <c r="K179" s="15">
        <v>43863</v>
      </c>
      <c r="L179" s="1" t="s">
        <v>86</v>
      </c>
      <c r="M179" s="1" t="s">
        <v>45</v>
      </c>
      <c r="N179" s="107" t="str">
        <f>IF(_xlfn.NUMBERVALUE(DATEDIF(J179,K179,"Y"))-Table1[[#This Row],[Κατηγορία]]&lt;0,"* Check Age *","")</f>
        <v/>
      </c>
    </row>
    <row r="180" spans="1:15" ht="18" hidden="1" customHeight="1" x14ac:dyDescent="0.2">
      <c r="A180" s="9" t="s">
        <v>1202</v>
      </c>
      <c r="B180" s="9" t="s">
        <v>1171</v>
      </c>
      <c r="C180" s="23" t="s">
        <v>1266</v>
      </c>
      <c r="D180" s="9"/>
      <c r="E180" s="11" t="s">
        <v>1186</v>
      </c>
      <c r="F180" s="57" t="s">
        <v>732</v>
      </c>
      <c r="G180" s="1"/>
      <c r="H180" s="58"/>
      <c r="I180" s="1" t="s">
        <v>286</v>
      </c>
      <c r="J180" s="15">
        <v>12394</v>
      </c>
      <c r="K180" s="15">
        <v>43863</v>
      </c>
      <c r="L180" s="1" t="s">
        <v>86</v>
      </c>
      <c r="M180" s="1" t="s">
        <v>45</v>
      </c>
      <c r="N180" s="107" t="str">
        <f>IF(_xlfn.NUMBERVALUE(DATEDIF(J180,K180,"Y"))-Table1[[#This Row],[Κατηγορία]]&lt;0,"* Check Age *","")</f>
        <v/>
      </c>
    </row>
    <row r="181" spans="1:15" ht="18" hidden="1" customHeight="1" x14ac:dyDescent="0.2">
      <c r="A181" s="9" t="s">
        <v>1155</v>
      </c>
      <c r="B181" s="9" t="s">
        <v>1169</v>
      </c>
      <c r="C181" s="12" t="s">
        <v>1256</v>
      </c>
      <c r="D181" s="9" t="s">
        <v>1238</v>
      </c>
      <c r="E181" s="11" t="s">
        <v>1186</v>
      </c>
      <c r="F181" s="52" t="s">
        <v>236</v>
      </c>
      <c r="I181" t="s">
        <v>105</v>
      </c>
      <c r="J181" s="10">
        <v>19810</v>
      </c>
      <c r="K181" s="11">
        <v>1989</v>
      </c>
      <c r="L181" t="s">
        <v>44</v>
      </c>
      <c r="N181" s="107"/>
    </row>
    <row r="182" spans="1:15" ht="18" hidden="1" customHeight="1" x14ac:dyDescent="0.2">
      <c r="A182" s="128" t="s">
        <v>1155</v>
      </c>
      <c r="B182" s="128" t="s">
        <v>1169</v>
      </c>
      <c r="C182" s="129" t="s">
        <v>1257</v>
      </c>
      <c r="D182" s="128" t="s">
        <v>1238</v>
      </c>
      <c r="E182" s="130" t="s">
        <v>1186</v>
      </c>
      <c r="F182" s="131" t="s">
        <v>237</v>
      </c>
      <c r="G182" s="132"/>
      <c r="H182" s="130"/>
      <c r="I182" s="132" t="s">
        <v>241</v>
      </c>
      <c r="J182" s="133">
        <v>27286</v>
      </c>
      <c r="K182" s="133">
        <v>41839</v>
      </c>
      <c r="L182" s="132" t="s">
        <v>44</v>
      </c>
      <c r="M182" s="132" t="s">
        <v>155</v>
      </c>
      <c r="N182" s="134" t="str">
        <f>IF(_xlfn.NUMBERVALUE(DATEDIF(J182,K182,"Y"))-Table1[[#This Row],[Κατηγορία]]&lt;0,CONCATENATE("* Check Age = ",TEXT(DATEDIF(J182,K182,"Y"),"00"),"*"),"")</f>
        <v>* Check Age = 39*</v>
      </c>
      <c r="O182" s="132" t="s">
        <v>1427</v>
      </c>
    </row>
    <row r="183" spans="1:15" ht="18" hidden="1" customHeight="1" x14ac:dyDescent="0.2">
      <c r="A183" s="9" t="s">
        <v>1155</v>
      </c>
      <c r="B183" s="9" t="s">
        <v>1169</v>
      </c>
      <c r="C183" s="12" t="s">
        <v>1258</v>
      </c>
      <c r="D183" s="9" t="s">
        <v>1238</v>
      </c>
      <c r="E183" s="11" t="s">
        <v>1186</v>
      </c>
      <c r="F183" s="52" t="s">
        <v>238</v>
      </c>
      <c r="I183" t="s">
        <v>132</v>
      </c>
      <c r="J183" s="11">
        <v>1954</v>
      </c>
      <c r="K183" s="11">
        <v>2003</v>
      </c>
      <c r="L183" t="s">
        <v>242</v>
      </c>
      <c r="N183" s="107"/>
    </row>
    <row r="184" spans="1:15" ht="18" hidden="1" customHeight="1" x14ac:dyDescent="0.2">
      <c r="A184" s="9" t="s">
        <v>1155</v>
      </c>
      <c r="B184" s="9" t="s">
        <v>1169</v>
      </c>
      <c r="C184" s="12" t="s">
        <v>1259</v>
      </c>
      <c r="D184" s="9" t="s">
        <v>1238</v>
      </c>
      <c r="E184" s="11" t="s">
        <v>1186</v>
      </c>
      <c r="F184" s="52" t="s">
        <v>239</v>
      </c>
      <c r="I184" t="s">
        <v>132</v>
      </c>
      <c r="J184" s="11">
        <v>1954</v>
      </c>
      <c r="K184" s="11">
        <v>2004</v>
      </c>
      <c r="L184" t="s">
        <v>133</v>
      </c>
      <c r="M184" t="s">
        <v>79</v>
      </c>
      <c r="N184" s="107"/>
    </row>
    <row r="185" spans="1:15" ht="18" hidden="1" customHeight="1" x14ac:dyDescent="0.2">
      <c r="A185" s="9" t="s">
        <v>1155</v>
      </c>
      <c r="B185" s="9" t="s">
        <v>1169</v>
      </c>
      <c r="C185" s="12" t="s">
        <v>1260</v>
      </c>
      <c r="D185" s="9" t="s">
        <v>1238</v>
      </c>
      <c r="E185" s="11" t="s">
        <v>1186</v>
      </c>
      <c r="F185" s="52" t="s">
        <v>240</v>
      </c>
      <c r="I185" t="s">
        <v>147</v>
      </c>
      <c r="J185" s="10">
        <v>21123</v>
      </c>
      <c r="K185" s="11">
        <v>2014</v>
      </c>
      <c r="L185" t="s">
        <v>35</v>
      </c>
      <c r="M185" t="s">
        <v>15</v>
      </c>
      <c r="N185" s="107"/>
    </row>
    <row r="186" spans="1:15" ht="18" hidden="1" customHeight="1" x14ac:dyDescent="0.2">
      <c r="A186" s="9" t="s">
        <v>1155</v>
      </c>
      <c r="B186" s="9" t="s">
        <v>1167</v>
      </c>
      <c r="C186" s="12" t="s">
        <v>1261</v>
      </c>
      <c r="D186" s="9" t="s">
        <v>1240</v>
      </c>
      <c r="E186" s="11" t="s">
        <v>1186</v>
      </c>
      <c r="F186" s="52" t="s">
        <v>232</v>
      </c>
      <c r="I186" t="s">
        <v>230</v>
      </c>
      <c r="J186" s="10">
        <v>19769</v>
      </c>
      <c r="K186" s="11">
        <v>2014</v>
      </c>
      <c r="N186" s="107"/>
    </row>
    <row r="187" spans="1:15" ht="18" hidden="1" customHeight="1" x14ac:dyDescent="0.2">
      <c r="A187" s="9" t="s">
        <v>1155</v>
      </c>
      <c r="B187" s="9" t="s">
        <v>1167</v>
      </c>
      <c r="C187" s="12" t="s">
        <v>1262</v>
      </c>
      <c r="D187" s="9" t="s">
        <v>1240</v>
      </c>
      <c r="E187" s="11" t="s">
        <v>1186</v>
      </c>
      <c r="F187" s="52" t="s">
        <v>233</v>
      </c>
      <c r="I187" t="s">
        <v>230</v>
      </c>
      <c r="J187" s="10">
        <v>19769</v>
      </c>
      <c r="K187" s="10">
        <v>43730</v>
      </c>
      <c r="L187" t="s">
        <v>35</v>
      </c>
      <c r="M187" t="s">
        <v>15</v>
      </c>
      <c r="N187" s="107" t="str">
        <f>IF(_xlfn.NUMBERVALUE(DATEDIF(J187,K187,"Y"))-Table1[[#This Row],[Κατηγορία]]&lt;0,"* Check Age *","")</f>
        <v/>
      </c>
    </row>
    <row r="188" spans="1:15" ht="18" hidden="1" customHeight="1" x14ac:dyDescent="0.2">
      <c r="A188" s="9" t="s">
        <v>1155</v>
      </c>
      <c r="B188" s="9" t="s">
        <v>1167</v>
      </c>
      <c r="C188" s="12" t="s">
        <v>1263</v>
      </c>
      <c r="D188" s="9" t="s">
        <v>1241</v>
      </c>
      <c r="E188" s="11" t="s">
        <v>1186</v>
      </c>
      <c r="F188" s="52" t="s">
        <v>979</v>
      </c>
      <c r="I188" t="s">
        <v>797</v>
      </c>
      <c r="J188" s="10">
        <v>18916</v>
      </c>
      <c r="K188" s="10">
        <v>45190</v>
      </c>
      <c r="L188" t="s">
        <v>980</v>
      </c>
      <c r="M188" t="s">
        <v>79</v>
      </c>
      <c r="N188" s="107" t="str">
        <f>IF(_xlfn.NUMBERVALUE(DATEDIF(J188,K188,"Y"))-Table1[[#This Row],[Κατηγορία]]&lt;0,"* Check Age *","")</f>
        <v/>
      </c>
    </row>
    <row r="189" spans="1:15" ht="18" hidden="1" customHeight="1" x14ac:dyDescent="0.2">
      <c r="A189" s="9" t="s">
        <v>1155</v>
      </c>
      <c r="B189" s="9" t="s">
        <v>1167</v>
      </c>
      <c r="C189" s="12" t="s">
        <v>1264</v>
      </c>
      <c r="D189" s="9" t="s">
        <v>1241</v>
      </c>
      <c r="E189" s="11" t="s">
        <v>1186</v>
      </c>
      <c r="F189" s="52" t="s">
        <v>908</v>
      </c>
      <c r="I189" t="s">
        <v>909</v>
      </c>
      <c r="J189" s="10">
        <v>16299</v>
      </c>
      <c r="K189" s="10">
        <v>44827</v>
      </c>
      <c r="L189" t="s">
        <v>95</v>
      </c>
      <c r="M189" t="s">
        <v>15</v>
      </c>
      <c r="N189" s="107" t="str">
        <f>IF(_xlfn.NUMBERVALUE(DATEDIF(J189,K189,"Y"))-Table1[[#This Row],[Κατηγορία]]&lt;0,"* Check Age *","")</f>
        <v/>
      </c>
    </row>
    <row r="190" spans="1:15" ht="18" hidden="1" customHeight="1" x14ac:dyDescent="0.2">
      <c r="A190" s="9" t="s">
        <v>1202</v>
      </c>
      <c r="B190" s="9" t="s">
        <v>1167</v>
      </c>
      <c r="C190" s="23" t="s">
        <v>1259</v>
      </c>
      <c r="D190" s="9" t="s">
        <v>1254</v>
      </c>
      <c r="E190" s="11" t="s">
        <v>1186</v>
      </c>
      <c r="F190" s="57" t="s">
        <v>759</v>
      </c>
      <c r="G190" s="1"/>
      <c r="H190" s="58"/>
      <c r="I190" s="1" t="s">
        <v>538</v>
      </c>
      <c r="J190" s="15">
        <v>24543</v>
      </c>
      <c r="K190" s="15">
        <v>44094</v>
      </c>
      <c r="L190" s="1" t="s">
        <v>44</v>
      </c>
      <c r="M190" s="1" t="s">
        <v>726</v>
      </c>
      <c r="N190" s="107" t="str">
        <f>IF(_xlfn.NUMBERVALUE(DATEDIF(J190,K190,"Y"))-Table1[[#This Row],[Κατηγορία]]&lt;0,"* Check Age *","")</f>
        <v/>
      </c>
    </row>
    <row r="191" spans="1:15" ht="18" hidden="1" customHeight="1" x14ac:dyDescent="0.2">
      <c r="A191" s="9" t="s">
        <v>1202</v>
      </c>
      <c r="B191" s="9" t="s">
        <v>1167</v>
      </c>
      <c r="C191" s="23" t="s">
        <v>1260</v>
      </c>
      <c r="D191" s="9" t="s">
        <v>1254</v>
      </c>
      <c r="E191" s="11" t="s">
        <v>1186</v>
      </c>
      <c r="F191" s="57" t="s">
        <v>820</v>
      </c>
      <c r="G191" s="1"/>
      <c r="H191" s="58"/>
      <c r="I191" s="1" t="s">
        <v>538</v>
      </c>
      <c r="J191" s="15">
        <v>24543</v>
      </c>
      <c r="K191" s="15">
        <v>44709</v>
      </c>
      <c r="L191" s="1" t="s">
        <v>23</v>
      </c>
      <c r="M191" s="1" t="s">
        <v>818</v>
      </c>
      <c r="N191" s="107" t="str">
        <f>IF(_xlfn.NUMBERVALUE(DATEDIF(J191,K191,"Y"))-Table1[[#This Row],[Κατηγορία]]&lt;0,"* Check Age *","")</f>
        <v/>
      </c>
    </row>
    <row r="192" spans="1:15" ht="18" hidden="1" customHeight="1" x14ac:dyDescent="0.2">
      <c r="A192" s="9" t="s">
        <v>1155</v>
      </c>
      <c r="B192" s="9" t="s">
        <v>1158</v>
      </c>
      <c r="C192" s="12" t="s">
        <v>1256</v>
      </c>
      <c r="D192" s="9"/>
      <c r="E192" s="11" t="s">
        <v>1186</v>
      </c>
      <c r="F192" s="52" t="s">
        <v>80</v>
      </c>
      <c r="I192" t="s">
        <v>81</v>
      </c>
      <c r="J192" s="10">
        <v>27346</v>
      </c>
      <c r="K192" s="11">
        <v>2009</v>
      </c>
      <c r="L192" t="s">
        <v>44</v>
      </c>
      <c r="N192" s="107"/>
    </row>
    <row r="193" spans="1:14" ht="18" hidden="1" customHeight="1" x14ac:dyDescent="0.2">
      <c r="A193" s="9" t="s">
        <v>1155</v>
      </c>
      <c r="B193" s="9" t="s">
        <v>1158</v>
      </c>
      <c r="C193" s="12" t="s">
        <v>1257</v>
      </c>
      <c r="D193" s="9"/>
      <c r="E193" s="11" t="s">
        <v>1186</v>
      </c>
      <c r="F193" s="52" t="s">
        <v>1412</v>
      </c>
      <c r="I193" s="1" t="s">
        <v>1349</v>
      </c>
      <c r="J193" s="15">
        <v>31211</v>
      </c>
      <c r="K193" s="10">
        <v>45941</v>
      </c>
      <c r="L193" t="s">
        <v>1413</v>
      </c>
      <c r="M193" t="s">
        <v>79</v>
      </c>
      <c r="N193" s="107"/>
    </row>
    <row r="194" spans="1:14" ht="18" hidden="1" customHeight="1" x14ac:dyDescent="0.2">
      <c r="A194" s="9" t="s">
        <v>1155</v>
      </c>
      <c r="B194" s="9" t="s">
        <v>1158</v>
      </c>
      <c r="C194" s="12" t="s">
        <v>1258</v>
      </c>
      <c r="D194" s="9"/>
      <c r="E194" s="11" t="s">
        <v>1186</v>
      </c>
      <c r="F194" s="52" t="s">
        <v>985</v>
      </c>
      <c r="I194" t="s">
        <v>83</v>
      </c>
      <c r="J194" s="10">
        <v>28389</v>
      </c>
      <c r="K194" s="54">
        <v>45195</v>
      </c>
      <c r="L194" t="s">
        <v>980</v>
      </c>
      <c r="M194" t="s">
        <v>79</v>
      </c>
      <c r="N194" s="107" t="str">
        <f>IF(_xlfn.NUMBERVALUE(DATEDIF(J194,K194,"Y"))-Table1[[#This Row],[Κατηγορία]]&lt;0,"* Check Age *","")</f>
        <v/>
      </c>
    </row>
    <row r="195" spans="1:14" ht="18" hidden="1" customHeight="1" x14ac:dyDescent="0.2">
      <c r="A195" s="9" t="s">
        <v>1155</v>
      </c>
      <c r="B195" s="9" t="s">
        <v>1158</v>
      </c>
      <c r="C195" s="12" t="s">
        <v>1259</v>
      </c>
      <c r="D195" s="9"/>
      <c r="E195" s="11" t="s">
        <v>1186</v>
      </c>
      <c r="F195" s="52" t="s">
        <v>87</v>
      </c>
      <c r="I195" t="s">
        <v>88</v>
      </c>
      <c r="J195" s="10">
        <v>21664</v>
      </c>
      <c r="K195" s="11">
        <v>2010</v>
      </c>
      <c r="L195" t="s">
        <v>89</v>
      </c>
      <c r="M195" t="s">
        <v>79</v>
      </c>
      <c r="N195" s="107"/>
    </row>
    <row r="196" spans="1:14" ht="18" hidden="1" customHeight="1" x14ac:dyDescent="0.2">
      <c r="A196" s="9" t="s">
        <v>1155</v>
      </c>
      <c r="B196" s="9" t="s">
        <v>1158</v>
      </c>
      <c r="C196" s="12" t="s">
        <v>1260</v>
      </c>
      <c r="D196" s="9"/>
      <c r="E196" s="11" t="s">
        <v>1186</v>
      </c>
      <c r="F196" s="52" t="s">
        <v>1286</v>
      </c>
      <c r="I196" t="s">
        <v>1225</v>
      </c>
      <c r="J196" s="10">
        <v>25478</v>
      </c>
      <c r="K196" s="10">
        <v>45815</v>
      </c>
      <c r="L196" t="s">
        <v>940</v>
      </c>
      <c r="M196" t="s">
        <v>1287</v>
      </c>
      <c r="N196" s="107" t="str">
        <f>IF(_xlfn.NUMBERVALUE(DATEDIF(J196,K196,"Y"))-Table1[[#This Row],[Κατηγορία]]&lt;0,"* Check Age *","")</f>
        <v/>
      </c>
    </row>
    <row r="197" spans="1:14" ht="18" hidden="1" customHeight="1" x14ac:dyDescent="0.2">
      <c r="A197" s="9" t="s">
        <v>1155</v>
      </c>
      <c r="B197" s="9" t="s">
        <v>1158</v>
      </c>
      <c r="C197" s="12" t="s">
        <v>1261</v>
      </c>
      <c r="D197" s="9"/>
      <c r="E197" s="11" t="s">
        <v>1186</v>
      </c>
      <c r="F197" s="52" t="s">
        <v>272</v>
      </c>
      <c r="I197" t="s">
        <v>230</v>
      </c>
      <c r="J197" s="10">
        <v>19769</v>
      </c>
      <c r="K197" s="11">
        <v>2014</v>
      </c>
      <c r="L197" t="s">
        <v>55</v>
      </c>
      <c r="N197" s="107"/>
    </row>
    <row r="198" spans="1:14" ht="18" hidden="1" customHeight="1" x14ac:dyDescent="0.2">
      <c r="A198" s="9" t="s">
        <v>1155</v>
      </c>
      <c r="B198" s="9" t="s">
        <v>1158</v>
      </c>
      <c r="C198" s="12" t="s">
        <v>1262</v>
      </c>
      <c r="D198" s="9"/>
      <c r="E198" s="11" t="s">
        <v>1186</v>
      </c>
      <c r="F198" s="52" t="s">
        <v>91</v>
      </c>
      <c r="I198" t="s">
        <v>92</v>
      </c>
      <c r="J198" s="10">
        <v>10677</v>
      </c>
      <c r="K198" s="11">
        <v>1996</v>
      </c>
      <c r="L198" t="s">
        <v>44</v>
      </c>
      <c r="N198" s="107"/>
    </row>
    <row r="199" spans="1:14" ht="18" hidden="1" customHeight="1" x14ac:dyDescent="0.2">
      <c r="A199" s="9" t="s">
        <v>1155</v>
      </c>
      <c r="B199" s="9" t="s">
        <v>1158</v>
      </c>
      <c r="C199" s="12" t="s">
        <v>1263</v>
      </c>
      <c r="D199" s="9"/>
      <c r="E199" s="11" t="s">
        <v>1186</v>
      </c>
      <c r="F199" s="52" t="s">
        <v>93</v>
      </c>
      <c r="I199" t="s">
        <v>42</v>
      </c>
      <c r="J199" s="10">
        <v>12579</v>
      </c>
      <c r="K199" s="11">
        <v>2004</v>
      </c>
      <c r="L199" t="s">
        <v>46</v>
      </c>
      <c r="N199" s="107"/>
    </row>
    <row r="200" spans="1:14" ht="18" hidden="1" customHeight="1" x14ac:dyDescent="0.2">
      <c r="A200" s="9" t="s">
        <v>1155</v>
      </c>
      <c r="B200" s="9" t="s">
        <v>1158</v>
      </c>
      <c r="C200" s="12" t="s">
        <v>1264</v>
      </c>
      <c r="D200" s="9"/>
      <c r="E200" s="11" t="s">
        <v>1186</v>
      </c>
      <c r="F200" s="52" t="s">
        <v>191</v>
      </c>
      <c r="I200" t="s">
        <v>53</v>
      </c>
      <c r="J200" s="10">
        <v>6002</v>
      </c>
      <c r="K200" s="11">
        <v>1993</v>
      </c>
      <c r="N200" s="107"/>
    </row>
    <row r="201" spans="1:14" ht="18" hidden="1" customHeight="1" x14ac:dyDescent="0.2">
      <c r="A201" s="9" t="s">
        <v>1155</v>
      </c>
      <c r="B201" s="9" t="s">
        <v>1158</v>
      </c>
      <c r="C201" s="12" t="s">
        <v>1265</v>
      </c>
      <c r="D201" s="9"/>
      <c r="E201" s="11" t="s">
        <v>1186</v>
      </c>
      <c r="F201" s="52" t="s">
        <v>101</v>
      </c>
      <c r="I201" t="s">
        <v>42</v>
      </c>
      <c r="J201" s="10">
        <v>12579</v>
      </c>
      <c r="K201" s="10">
        <v>42231</v>
      </c>
      <c r="L201" t="s">
        <v>102</v>
      </c>
      <c r="M201" t="s">
        <v>85</v>
      </c>
      <c r="N201" s="107" t="str">
        <f>IF(_xlfn.NUMBERVALUE(DATEDIF(J201,K201,"Y"))-Table1[[#This Row],[Κατηγορία]]&lt;0,"* Check Age *","")</f>
        <v/>
      </c>
    </row>
    <row r="202" spans="1:14" ht="18" hidden="1" customHeight="1" x14ac:dyDescent="0.2">
      <c r="A202" s="9" t="s">
        <v>1155</v>
      </c>
      <c r="B202" s="9" t="s">
        <v>1158</v>
      </c>
      <c r="C202" s="12" t="s">
        <v>1266</v>
      </c>
      <c r="D202" s="9"/>
      <c r="E202" s="11" t="s">
        <v>1186</v>
      </c>
      <c r="F202" s="52" t="s">
        <v>103</v>
      </c>
      <c r="I202" t="s">
        <v>59</v>
      </c>
      <c r="J202" s="10">
        <v>10618</v>
      </c>
      <c r="K202" s="11">
        <v>2014</v>
      </c>
      <c r="L202" t="s">
        <v>57</v>
      </c>
      <c r="M202" t="s">
        <v>79</v>
      </c>
      <c r="N202" s="107"/>
    </row>
    <row r="203" spans="1:14" ht="18" hidden="1" customHeight="1" x14ac:dyDescent="0.2">
      <c r="A203" s="9" t="s">
        <v>1155</v>
      </c>
      <c r="B203" s="9" t="s">
        <v>1158</v>
      </c>
      <c r="C203" s="12" t="s">
        <v>1267</v>
      </c>
      <c r="D203" s="9"/>
      <c r="E203" s="11" t="s">
        <v>1186</v>
      </c>
      <c r="F203" s="52" t="s">
        <v>780</v>
      </c>
      <c r="I203" t="s">
        <v>59</v>
      </c>
      <c r="J203" s="10">
        <v>10618</v>
      </c>
      <c r="K203" s="10">
        <v>44366</v>
      </c>
      <c r="L203" t="s">
        <v>781</v>
      </c>
      <c r="M203" t="s">
        <v>40</v>
      </c>
      <c r="N203" s="107" t="str">
        <f>IF(_xlfn.NUMBERVALUE(DATEDIF(J203,K203,"Y"))-Table1[[#This Row],[Κατηγορία]]&lt;0,"* Check Age *","")</f>
        <v/>
      </c>
    </row>
    <row r="204" spans="1:14" ht="18" hidden="1" customHeight="1" x14ac:dyDescent="0.2">
      <c r="A204" s="9" t="s">
        <v>1155</v>
      </c>
      <c r="B204" s="9" t="s">
        <v>1158</v>
      </c>
      <c r="C204" s="12" t="s">
        <v>1268</v>
      </c>
      <c r="D204" s="9"/>
      <c r="E204" s="11" t="s">
        <v>1186</v>
      </c>
      <c r="F204" s="52" t="s">
        <v>1113</v>
      </c>
      <c r="I204" t="s">
        <v>59</v>
      </c>
      <c r="J204" s="10">
        <v>10618</v>
      </c>
      <c r="K204" s="10">
        <v>45479</v>
      </c>
      <c r="L204" t="s">
        <v>1026</v>
      </c>
      <c r="M204" t="s">
        <v>40</v>
      </c>
      <c r="N204" s="107" t="str">
        <f>IF(_xlfn.NUMBERVALUE(DATEDIF(J204,K204,"Y"))-Table1[[#This Row],[Κατηγορία]]&lt;0,"* Check Age *","")</f>
        <v/>
      </c>
    </row>
    <row r="205" spans="1:14" ht="18" hidden="1" customHeight="1" x14ac:dyDescent="0.2">
      <c r="A205" s="9" t="s">
        <v>1202</v>
      </c>
      <c r="B205" s="9" t="s">
        <v>1158</v>
      </c>
      <c r="C205" s="23" t="s">
        <v>1256</v>
      </c>
      <c r="D205" s="9"/>
      <c r="E205" s="11" t="s">
        <v>1186</v>
      </c>
      <c r="F205" s="57" t="s">
        <v>1049</v>
      </c>
      <c r="G205" s="1"/>
      <c r="H205" s="58"/>
      <c r="I205" t="s">
        <v>1028</v>
      </c>
      <c r="J205" s="13">
        <v>32184</v>
      </c>
      <c r="K205" s="15">
        <v>45431</v>
      </c>
      <c r="L205" s="1" t="s">
        <v>95</v>
      </c>
      <c r="M205" s="1" t="s">
        <v>1047</v>
      </c>
      <c r="N205" s="107" t="str">
        <f>IF(_xlfn.NUMBERVALUE(DATEDIF(J205,K205,"Y"))-Table1[[#This Row],[Κατηγορία]]&lt;0,"* Check Age *","")</f>
        <v/>
      </c>
    </row>
    <row r="206" spans="1:14" ht="18" hidden="1" customHeight="1" x14ac:dyDescent="0.2">
      <c r="A206" s="9" t="s">
        <v>1202</v>
      </c>
      <c r="B206" s="9" t="s">
        <v>1158</v>
      </c>
      <c r="C206" s="23" t="s">
        <v>1257</v>
      </c>
      <c r="D206" s="9"/>
      <c r="E206" s="11" t="s">
        <v>1186</v>
      </c>
      <c r="F206" s="57" t="s">
        <v>444</v>
      </c>
      <c r="G206" s="1"/>
      <c r="H206" s="58"/>
      <c r="I206" s="1" t="s">
        <v>535</v>
      </c>
      <c r="J206" s="15">
        <v>28520</v>
      </c>
      <c r="K206" s="15">
        <v>43261</v>
      </c>
      <c r="L206" s="1" t="s">
        <v>44</v>
      </c>
      <c r="M206" s="1" t="s">
        <v>536</v>
      </c>
      <c r="N206" s="107" t="str">
        <f>IF(_xlfn.NUMBERVALUE(DATEDIF(J206,K206,"Y"))-Table1[[#This Row],[Κατηγορία]]&lt;0,"* Check Age *","")</f>
        <v/>
      </c>
    </row>
    <row r="207" spans="1:14" ht="18" hidden="1" customHeight="1" x14ac:dyDescent="0.2">
      <c r="A207" s="9" t="s">
        <v>1202</v>
      </c>
      <c r="B207" s="9" t="s">
        <v>1158</v>
      </c>
      <c r="C207" s="23" t="s">
        <v>1258</v>
      </c>
      <c r="D207" s="9"/>
      <c r="E207" s="11" t="s">
        <v>1186</v>
      </c>
      <c r="F207" s="57" t="s">
        <v>984</v>
      </c>
      <c r="G207" s="1"/>
      <c r="H207" s="58"/>
      <c r="I207" s="1" t="s">
        <v>535</v>
      </c>
      <c r="J207" s="15">
        <v>28520</v>
      </c>
      <c r="K207" s="15">
        <v>45195</v>
      </c>
      <c r="L207" t="s">
        <v>980</v>
      </c>
      <c r="M207" t="s">
        <v>79</v>
      </c>
      <c r="N207" s="107" t="str">
        <f>IF(_xlfn.NUMBERVALUE(DATEDIF(J207,K207,"Y"))-Table1[[#This Row],[Κατηγορία]]&lt;0,"* Check Age *","")</f>
        <v/>
      </c>
    </row>
    <row r="208" spans="1:14" ht="18" hidden="1" customHeight="1" x14ac:dyDescent="0.2">
      <c r="A208" s="9" t="s">
        <v>1202</v>
      </c>
      <c r="B208" s="9" t="s">
        <v>1158</v>
      </c>
      <c r="C208" s="23">
        <v>50</v>
      </c>
      <c r="D208" s="9"/>
      <c r="E208" s="11" t="s">
        <v>1186</v>
      </c>
      <c r="F208" s="57" t="s">
        <v>1290</v>
      </c>
      <c r="G208" s="1"/>
      <c r="H208" s="58"/>
      <c r="I208" s="1" t="s">
        <v>534</v>
      </c>
      <c r="J208" s="15">
        <v>25836</v>
      </c>
      <c r="K208" s="15">
        <v>45815</v>
      </c>
      <c r="L208" s="1" t="s">
        <v>23</v>
      </c>
      <c r="M208" s="1" t="s">
        <v>1292</v>
      </c>
      <c r="N208" s="107" t="str">
        <f>IF(_xlfn.NUMBERVALUE(DATEDIF(J208,K208,"Y"))-Table1[[#This Row],[Κατηγορία]]&lt;0,"* Check Age *","")</f>
        <v/>
      </c>
    </row>
    <row r="209" spans="1:15" ht="18" hidden="1" customHeight="1" x14ac:dyDescent="0.2">
      <c r="A209" s="9" t="s">
        <v>1202</v>
      </c>
      <c r="B209" s="9" t="s">
        <v>1158</v>
      </c>
      <c r="C209" s="23">
        <v>55</v>
      </c>
      <c r="D209" s="9"/>
      <c r="E209" s="11" t="s">
        <v>1186</v>
      </c>
      <c r="F209" s="57" t="s">
        <v>1414</v>
      </c>
      <c r="G209" s="1"/>
      <c r="H209" s="58"/>
      <c r="I209" s="1" t="s">
        <v>534</v>
      </c>
      <c r="J209" s="15">
        <v>25836</v>
      </c>
      <c r="K209" s="15">
        <v>45941</v>
      </c>
      <c r="L209" s="1" t="s">
        <v>1413</v>
      </c>
      <c r="M209" s="1" t="s">
        <v>79</v>
      </c>
      <c r="N209" s="107"/>
      <c r="O209" s="23"/>
    </row>
    <row r="210" spans="1:15" ht="18" hidden="1" customHeight="1" x14ac:dyDescent="0.2">
      <c r="A210" s="9" t="s">
        <v>1202</v>
      </c>
      <c r="B210" s="9" t="s">
        <v>1158</v>
      </c>
      <c r="C210" s="23" t="s">
        <v>1261</v>
      </c>
      <c r="D210" s="9"/>
      <c r="E210" s="11" t="s">
        <v>1186</v>
      </c>
      <c r="F210" s="57" t="s">
        <v>568</v>
      </c>
      <c r="G210" s="1"/>
      <c r="H210" s="58"/>
      <c r="I210" s="1" t="s">
        <v>560</v>
      </c>
      <c r="J210" s="23">
        <v>1932</v>
      </c>
      <c r="K210" s="23">
        <v>1995</v>
      </c>
      <c r="L210" s="1" t="s">
        <v>44</v>
      </c>
      <c r="M210" s="1"/>
      <c r="N210" s="107"/>
    </row>
    <row r="211" spans="1:15" ht="18" hidden="1" customHeight="1" x14ac:dyDescent="0.2">
      <c r="A211" s="9" t="s">
        <v>1202</v>
      </c>
      <c r="B211" s="9" t="s">
        <v>1158</v>
      </c>
      <c r="C211" s="23" t="s">
        <v>1262</v>
      </c>
      <c r="D211" s="9"/>
      <c r="E211" s="11" t="s">
        <v>1186</v>
      </c>
      <c r="F211" s="57" t="s">
        <v>569</v>
      </c>
      <c r="G211" s="1"/>
      <c r="H211" s="58"/>
      <c r="I211" s="1" t="s">
        <v>286</v>
      </c>
      <c r="J211" s="15">
        <v>12394</v>
      </c>
      <c r="K211" s="23">
        <v>2000</v>
      </c>
      <c r="L211" s="1" t="s">
        <v>95</v>
      </c>
      <c r="M211" s="1"/>
      <c r="N211" s="107"/>
    </row>
    <row r="212" spans="1:15" ht="18" hidden="1" customHeight="1" x14ac:dyDescent="0.2">
      <c r="A212" s="9" t="s">
        <v>1202</v>
      </c>
      <c r="B212" s="9" t="s">
        <v>1158</v>
      </c>
      <c r="C212" s="23" t="s">
        <v>1263</v>
      </c>
      <c r="D212" s="9"/>
      <c r="E212" s="11" t="s">
        <v>1186</v>
      </c>
      <c r="F212" s="57" t="s">
        <v>570</v>
      </c>
      <c r="G212" s="1"/>
      <c r="H212" s="58"/>
      <c r="I212" s="1" t="s">
        <v>572</v>
      </c>
      <c r="J212" s="15">
        <v>14628</v>
      </c>
      <c r="K212" s="23">
        <v>2013</v>
      </c>
      <c r="L212" s="1" t="s">
        <v>60</v>
      </c>
      <c r="M212" s="1" t="s">
        <v>343</v>
      </c>
      <c r="N212" s="107"/>
    </row>
    <row r="213" spans="1:15" ht="18" hidden="1" customHeight="1" x14ac:dyDescent="0.2">
      <c r="A213" s="9" t="s">
        <v>1202</v>
      </c>
      <c r="B213" s="9" t="s">
        <v>1158</v>
      </c>
      <c r="C213" s="23" t="s">
        <v>1264</v>
      </c>
      <c r="D213" s="9"/>
      <c r="E213" s="11" t="s">
        <v>1186</v>
      </c>
      <c r="F213" s="57" t="s">
        <v>571</v>
      </c>
      <c r="G213" s="1"/>
      <c r="H213" s="58"/>
      <c r="I213" s="1" t="s">
        <v>572</v>
      </c>
      <c r="J213" s="15">
        <v>14628</v>
      </c>
      <c r="K213" s="15">
        <v>42532</v>
      </c>
      <c r="L213" s="1" t="s">
        <v>66</v>
      </c>
      <c r="M213" s="1" t="s">
        <v>343</v>
      </c>
      <c r="N213" s="107" t="str">
        <f>IF(_xlfn.NUMBERVALUE(DATEDIF(J213,K213,"Y"))-Table1[[#This Row],[Κατηγορία]]&lt;0,"* Check Age *","")</f>
        <v/>
      </c>
    </row>
    <row r="214" spans="1:15" ht="18" hidden="1" customHeight="1" x14ac:dyDescent="0.2">
      <c r="A214" s="9" t="s">
        <v>1202</v>
      </c>
      <c r="B214" s="9" t="s">
        <v>1158</v>
      </c>
      <c r="C214" s="23" t="s">
        <v>1265</v>
      </c>
      <c r="D214" s="9"/>
      <c r="E214" s="11" t="s">
        <v>1186</v>
      </c>
      <c r="F214" s="57" t="s">
        <v>784</v>
      </c>
      <c r="G214" s="1"/>
      <c r="H214" s="58"/>
      <c r="I214" s="1" t="s">
        <v>572</v>
      </c>
      <c r="J214" s="15">
        <v>14628</v>
      </c>
      <c r="K214" s="15">
        <v>44366</v>
      </c>
      <c r="L214" s="1" t="s">
        <v>46</v>
      </c>
      <c r="M214" s="1" t="s">
        <v>343</v>
      </c>
      <c r="N214" s="107" t="str">
        <f>IF(_xlfn.NUMBERVALUE(DATEDIF(J214,K214,"Y"))-Table1[[#This Row],[Κατηγορία]]&lt;0,"* Check Age *","")</f>
        <v/>
      </c>
    </row>
    <row r="215" spans="1:15" ht="18" hidden="1" customHeight="1" x14ac:dyDescent="0.2">
      <c r="A215" s="9" t="s">
        <v>1202</v>
      </c>
      <c r="B215" s="9" t="s">
        <v>1158</v>
      </c>
      <c r="C215" s="23" t="s">
        <v>1265</v>
      </c>
      <c r="D215" s="9"/>
      <c r="E215" s="11" t="s">
        <v>1187</v>
      </c>
      <c r="F215" s="57" t="s">
        <v>783</v>
      </c>
      <c r="G215" s="1"/>
      <c r="H215" s="58"/>
      <c r="I215" s="1" t="s">
        <v>572</v>
      </c>
      <c r="J215" s="15">
        <v>14628</v>
      </c>
      <c r="K215" s="15">
        <v>44345</v>
      </c>
      <c r="L215" s="1" t="s">
        <v>95</v>
      </c>
      <c r="M215" s="1" t="s">
        <v>490</v>
      </c>
      <c r="N215" s="107" t="str">
        <f>IF(_xlfn.NUMBERVALUE(DATEDIF(J215,K215,"Y"))-Table1[[#This Row],[Κατηγορία]]&lt;0,"* Check Age *","")</f>
        <v/>
      </c>
    </row>
    <row r="216" spans="1:15" ht="18" hidden="1" customHeight="1" x14ac:dyDescent="0.2">
      <c r="A216" s="9" t="s">
        <v>1202</v>
      </c>
      <c r="B216" s="9" t="s">
        <v>1158</v>
      </c>
      <c r="C216" s="23" t="s">
        <v>1266</v>
      </c>
      <c r="D216" s="9"/>
      <c r="E216" s="11" t="s">
        <v>1186</v>
      </c>
      <c r="F216" s="57" t="s">
        <v>1415</v>
      </c>
      <c r="G216" s="1"/>
      <c r="H216" s="58"/>
      <c r="I216" s="1" t="s">
        <v>572</v>
      </c>
      <c r="J216" s="15">
        <v>14628</v>
      </c>
      <c r="K216" s="15">
        <v>45941</v>
      </c>
      <c r="L216" t="s">
        <v>1413</v>
      </c>
      <c r="M216" s="1" t="s">
        <v>79</v>
      </c>
      <c r="N216" s="107"/>
    </row>
    <row r="217" spans="1:15" ht="18" hidden="1" customHeight="1" x14ac:dyDescent="0.2">
      <c r="A217" s="9" t="s">
        <v>1155</v>
      </c>
      <c r="B217" s="9" t="s">
        <v>1166</v>
      </c>
      <c r="C217" s="12" t="s">
        <v>1256</v>
      </c>
      <c r="D217" s="9" t="s">
        <v>1238</v>
      </c>
      <c r="E217" s="11" t="s">
        <v>1186</v>
      </c>
      <c r="F217" s="52" t="s">
        <v>222</v>
      </c>
      <c r="I217" t="s">
        <v>99</v>
      </c>
      <c r="J217" s="10">
        <v>28938</v>
      </c>
      <c r="K217" s="10">
        <v>42168</v>
      </c>
      <c r="L217" t="s">
        <v>130</v>
      </c>
      <c r="M217" t="s">
        <v>131</v>
      </c>
      <c r="N217" s="107" t="str">
        <f>IF(_xlfn.NUMBERVALUE(DATEDIF(J217,K217,"Y"))-Table1[[#This Row],[Κατηγορία]]&lt;0,"* Check Age *","")</f>
        <v/>
      </c>
    </row>
    <row r="218" spans="1:15" ht="18" hidden="1" customHeight="1" x14ac:dyDescent="0.2">
      <c r="A218" s="9" t="s">
        <v>1155</v>
      </c>
      <c r="B218" s="9" t="s">
        <v>1166</v>
      </c>
      <c r="C218" s="12" t="s">
        <v>1257</v>
      </c>
      <c r="D218" s="9" t="s">
        <v>1238</v>
      </c>
      <c r="E218" s="11" t="s">
        <v>1186</v>
      </c>
      <c r="F218" s="52" t="s">
        <v>223</v>
      </c>
      <c r="I218" t="s">
        <v>228</v>
      </c>
      <c r="J218" s="10">
        <v>16083</v>
      </c>
      <c r="K218" s="11">
        <v>1984</v>
      </c>
      <c r="L218" t="s">
        <v>44</v>
      </c>
      <c r="N218" s="107"/>
    </row>
    <row r="219" spans="1:15" ht="18" hidden="1" customHeight="1" x14ac:dyDescent="0.2">
      <c r="A219" s="9" t="s">
        <v>1155</v>
      </c>
      <c r="B219" s="9" t="s">
        <v>1166</v>
      </c>
      <c r="C219" s="12" t="s">
        <v>1257</v>
      </c>
      <c r="D219" s="9" t="s">
        <v>1238</v>
      </c>
      <c r="E219" s="11" t="s">
        <v>1187</v>
      </c>
      <c r="F219" s="52" t="s">
        <v>225</v>
      </c>
      <c r="I219" t="s">
        <v>228</v>
      </c>
      <c r="J219" s="10">
        <v>16083</v>
      </c>
      <c r="K219" s="11">
        <v>1987</v>
      </c>
      <c r="L219" t="s">
        <v>224</v>
      </c>
      <c r="M219" t="s">
        <v>85</v>
      </c>
      <c r="N219" s="107"/>
    </row>
    <row r="220" spans="1:15" ht="18" hidden="1" customHeight="1" x14ac:dyDescent="0.2">
      <c r="A220" s="9" t="s">
        <v>1155</v>
      </c>
      <c r="B220" s="9" t="s">
        <v>1166</v>
      </c>
      <c r="C220" s="12" t="s">
        <v>1258</v>
      </c>
      <c r="D220" s="9" t="s">
        <v>1238</v>
      </c>
      <c r="E220" s="11" t="s">
        <v>1186</v>
      </c>
      <c r="F220" s="52" t="s">
        <v>226</v>
      </c>
      <c r="I220" t="s">
        <v>228</v>
      </c>
      <c r="J220" s="10">
        <v>16083</v>
      </c>
      <c r="K220" s="11">
        <v>1992</v>
      </c>
      <c r="L220" t="s">
        <v>768</v>
      </c>
      <c r="M220" t="s">
        <v>79</v>
      </c>
      <c r="N220" s="107"/>
    </row>
    <row r="221" spans="1:15" ht="18" hidden="1" customHeight="1" x14ac:dyDescent="0.2">
      <c r="A221" s="9" t="s">
        <v>1155</v>
      </c>
      <c r="B221" s="9" t="s">
        <v>1166</v>
      </c>
      <c r="C221" s="12" t="s">
        <v>1259</v>
      </c>
      <c r="D221" s="9" t="s">
        <v>1239</v>
      </c>
      <c r="E221" s="11" t="s">
        <v>1186</v>
      </c>
      <c r="F221" s="52" t="s">
        <v>227</v>
      </c>
      <c r="I221" t="s">
        <v>228</v>
      </c>
      <c r="J221" s="10">
        <v>16083</v>
      </c>
      <c r="K221" s="11">
        <v>1995</v>
      </c>
      <c r="L221" t="s">
        <v>231</v>
      </c>
      <c r="N221" s="107"/>
    </row>
    <row r="222" spans="1:15" ht="18" hidden="1" customHeight="1" x14ac:dyDescent="0.2">
      <c r="A222" s="9" t="s">
        <v>1155</v>
      </c>
      <c r="B222" s="9" t="s">
        <v>1166</v>
      </c>
      <c r="C222" s="12" t="s">
        <v>1260</v>
      </c>
      <c r="D222" s="9" t="s">
        <v>1239</v>
      </c>
      <c r="E222" s="11" t="s">
        <v>1186</v>
      </c>
      <c r="F222" s="52" t="s">
        <v>229</v>
      </c>
      <c r="I222" t="s">
        <v>230</v>
      </c>
      <c r="J222" s="10">
        <v>19769</v>
      </c>
      <c r="K222" s="11">
        <v>2010</v>
      </c>
      <c r="L222" t="s">
        <v>60</v>
      </c>
      <c r="M222" t="s">
        <v>15</v>
      </c>
      <c r="N222" s="107"/>
    </row>
    <row r="223" spans="1:15" ht="18" hidden="1" customHeight="1" x14ac:dyDescent="0.2">
      <c r="A223" s="9" t="s">
        <v>1202</v>
      </c>
      <c r="B223" s="9" t="s">
        <v>1166</v>
      </c>
      <c r="C223" s="23" t="s">
        <v>1256</v>
      </c>
      <c r="D223" s="9" t="s">
        <v>1254</v>
      </c>
      <c r="E223" s="11" t="s">
        <v>1186</v>
      </c>
      <c r="F223" s="57" t="s">
        <v>614</v>
      </c>
      <c r="G223" s="1"/>
      <c r="H223" s="58"/>
      <c r="I223" s="1" t="s">
        <v>615</v>
      </c>
      <c r="J223" s="15">
        <v>28120</v>
      </c>
      <c r="K223" s="15">
        <v>41475</v>
      </c>
      <c r="L223" s="1" t="s">
        <v>154</v>
      </c>
      <c r="M223" s="1" t="s">
        <v>155</v>
      </c>
      <c r="N223" s="107" t="str">
        <f>IF(_xlfn.NUMBERVALUE(DATEDIF(J223,K223,"Y"))-Table1[[#This Row],[Κατηγορία]]&lt;0,"* Check Age *","")</f>
        <v/>
      </c>
    </row>
    <row r="224" spans="1:15" ht="18" hidden="1" customHeight="1" x14ac:dyDescent="0.2">
      <c r="A224" s="9" t="s">
        <v>1202</v>
      </c>
      <c r="B224" s="9" t="s">
        <v>1166</v>
      </c>
      <c r="C224" s="23" t="s">
        <v>1257</v>
      </c>
      <c r="D224" s="9" t="s">
        <v>1254</v>
      </c>
      <c r="E224" s="11" t="s">
        <v>1186</v>
      </c>
      <c r="F224" s="57" t="s">
        <v>855</v>
      </c>
      <c r="G224" s="1"/>
      <c r="H224" s="58"/>
      <c r="I224" s="1" t="s">
        <v>535</v>
      </c>
      <c r="J224" s="15">
        <v>28520</v>
      </c>
      <c r="K224" s="15">
        <v>44827</v>
      </c>
      <c r="L224" s="1" t="s">
        <v>95</v>
      </c>
      <c r="M224" s="1" t="s">
        <v>15</v>
      </c>
      <c r="N224" s="107" t="str">
        <f>IF(_xlfn.NUMBERVALUE(DATEDIF(J224,K224,"Y"))-Table1[[#This Row],[Κατηγορία]]&lt;0,"* Check Age *","")</f>
        <v/>
      </c>
    </row>
    <row r="225" spans="1:14" ht="18" hidden="1" customHeight="1" x14ac:dyDescent="0.2">
      <c r="A225" s="9" t="s">
        <v>1202</v>
      </c>
      <c r="B225" s="9" t="s">
        <v>1166</v>
      </c>
      <c r="C225" s="23" t="s">
        <v>1258</v>
      </c>
      <c r="D225" s="9" t="s">
        <v>1254</v>
      </c>
      <c r="E225" s="11" t="s">
        <v>1186</v>
      </c>
      <c r="F225" s="57" t="s">
        <v>981</v>
      </c>
      <c r="G225" s="1"/>
      <c r="H225" s="58"/>
      <c r="I225" s="1" t="s">
        <v>535</v>
      </c>
      <c r="J225" s="15">
        <v>28520</v>
      </c>
      <c r="K225" s="15">
        <v>45191</v>
      </c>
      <c r="L225" t="s">
        <v>980</v>
      </c>
      <c r="M225" t="s">
        <v>79</v>
      </c>
      <c r="N225" s="107" t="str">
        <f>IF(_xlfn.NUMBERVALUE(DATEDIF(J225,K225,"Y"))-Table1[[#This Row],[Κατηγορία]]&lt;0,"* Check Age *","")</f>
        <v/>
      </c>
    </row>
    <row r="226" spans="1:14" ht="18" hidden="1" customHeight="1" x14ac:dyDescent="0.2">
      <c r="A226" s="9" t="s">
        <v>1155</v>
      </c>
      <c r="B226" s="9" t="s">
        <v>1429</v>
      </c>
      <c r="C226" s="12" t="s">
        <v>1256</v>
      </c>
      <c r="D226" s="9"/>
      <c r="E226" s="11" t="s">
        <v>1186</v>
      </c>
      <c r="F226" s="52" t="s">
        <v>251</v>
      </c>
      <c r="I226" t="s">
        <v>246</v>
      </c>
      <c r="K226" s="10">
        <v>42265</v>
      </c>
      <c r="L226" t="s">
        <v>95</v>
      </c>
      <c r="M226" t="s">
        <v>15</v>
      </c>
      <c r="N226" s="107" t="str">
        <f>IF(_xlfn.NUMBERVALUE(DATEDIF(J226,K226,"Y"))-Table1[[#This Row],[Κατηγορία]]&lt;0,"* Check Age *","")</f>
        <v/>
      </c>
    </row>
    <row r="227" spans="1:14" ht="18" hidden="1" customHeight="1" x14ac:dyDescent="0.2">
      <c r="A227" s="9" t="s">
        <v>1155</v>
      </c>
      <c r="B227" s="9" t="s">
        <v>1429</v>
      </c>
      <c r="C227" s="12" t="s">
        <v>1256</v>
      </c>
      <c r="D227" s="9"/>
      <c r="E227" s="11" t="s">
        <v>1186</v>
      </c>
      <c r="I227" t="s">
        <v>247</v>
      </c>
      <c r="K227" s="10">
        <v>42265</v>
      </c>
      <c r="L227" t="s">
        <v>95</v>
      </c>
      <c r="M227" t="s">
        <v>15</v>
      </c>
      <c r="N227" s="107"/>
    </row>
    <row r="228" spans="1:14" ht="18" hidden="1" customHeight="1" x14ac:dyDescent="0.2">
      <c r="A228" s="9" t="s">
        <v>1155</v>
      </c>
      <c r="B228" s="9" t="s">
        <v>1429</v>
      </c>
      <c r="C228" s="12" t="s">
        <v>1256</v>
      </c>
      <c r="D228" s="9"/>
      <c r="E228" s="11" t="s">
        <v>1186</v>
      </c>
      <c r="I228" t="s">
        <v>252</v>
      </c>
      <c r="K228" s="10">
        <v>42265</v>
      </c>
      <c r="L228" t="s">
        <v>95</v>
      </c>
      <c r="M228" t="s">
        <v>15</v>
      </c>
      <c r="N228" s="107"/>
    </row>
    <row r="229" spans="1:14" ht="18" hidden="1" customHeight="1" x14ac:dyDescent="0.2">
      <c r="A229" s="9" t="s">
        <v>1155</v>
      </c>
      <c r="B229" s="9" t="s">
        <v>1429</v>
      </c>
      <c r="C229" s="12" t="s">
        <v>1256</v>
      </c>
      <c r="D229" s="9"/>
      <c r="E229" s="11" t="s">
        <v>1186</v>
      </c>
      <c r="I229" t="s">
        <v>253</v>
      </c>
      <c r="K229" s="10">
        <v>42265</v>
      </c>
      <c r="L229" t="s">
        <v>95</v>
      </c>
      <c r="M229" t="s">
        <v>15</v>
      </c>
      <c r="N229" s="107"/>
    </row>
    <row r="230" spans="1:14" ht="18" hidden="1" customHeight="1" x14ac:dyDescent="0.2">
      <c r="A230" s="9" t="s">
        <v>1155</v>
      </c>
      <c r="B230" s="9" t="s">
        <v>1429</v>
      </c>
      <c r="C230" s="12" t="s">
        <v>1257</v>
      </c>
      <c r="D230" s="9"/>
      <c r="E230" s="11" t="s">
        <v>1186</v>
      </c>
      <c r="F230" s="52" t="s">
        <v>254</v>
      </c>
      <c r="I230" t="s">
        <v>248</v>
      </c>
      <c r="K230" s="10">
        <v>40789</v>
      </c>
      <c r="L230" t="s">
        <v>255</v>
      </c>
      <c r="M230" t="s">
        <v>15</v>
      </c>
      <c r="N230" s="107" t="str">
        <f>IF(_xlfn.NUMBERVALUE(DATEDIF(J230,K230,"Y"))-Table1[[#This Row],[Κατηγορία]]&lt;0,"* Check Age *","")</f>
        <v/>
      </c>
    </row>
    <row r="231" spans="1:14" ht="18" hidden="1" customHeight="1" x14ac:dyDescent="0.2">
      <c r="A231" s="9" t="s">
        <v>1155</v>
      </c>
      <c r="B231" s="9" t="s">
        <v>1429</v>
      </c>
      <c r="C231" s="12" t="s">
        <v>1257</v>
      </c>
      <c r="D231" s="9"/>
      <c r="E231" s="11" t="s">
        <v>1186</v>
      </c>
      <c r="I231" t="s">
        <v>249</v>
      </c>
      <c r="K231" s="10">
        <v>40789</v>
      </c>
      <c r="L231" t="s">
        <v>255</v>
      </c>
      <c r="M231" t="s">
        <v>15</v>
      </c>
      <c r="N231" s="107"/>
    </row>
    <row r="232" spans="1:14" ht="18" hidden="1" customHeight="1" x14ac:dyDescent="0.2">
      <c r="A232" s="9" t="s">
        <v>1155</v>
      </c>
      <c r="B232" s="9" t="s">
        <v>1429</v>
      </c>
      <c r="C232" s="12" t="s">
        <v>1257</v>
      </c>
      <c r="D232" s="9"/>
      <c r="E232" s="11" t="s">
        <v>1186</v>
      </c>
      <c r="I232" t="s">
        <v>256</v>
      </c>
      <c r="K232" s="10">
        <v>40789</v>
      </c>
      <c r="L232" t="s">
        <v>255</v>
      </c>
      <c r="M232" t="s">
        <v>15</v>
      </c>
      <c r="N232" s="107"/>
    </row>
    <row r="233" spans="1:14" ht="18" hidden="1" customHeight="1" x14ac:dyDescent="0.2">
      <c r="A233" s="9" t="s">
        <v>1155</v>
      </c>
      <c r="B233" s="9" t="s">
        <v>1429</v>
      </c>
      <c r="C233" s="12" t="s">
        <v>1257</v>
      </c>
      <c r="D233" s="9"/>
      <c r="E233" s="11" t="s">
        <v>1186</v>
      </c>
      <c r="I233" t="s">
        <v>257</v>
      </c>
      <c r="K233" s="10">
        <v>40789</v>
      </c>
      <c r="L233" t="s">
        <v>255</v>
      </c>
      <c r="M233" t="s">
        <v>15</v>
      </c>
      <c r="N233" s="107"/>
    </row>
    <row r="234" spans="1:14" ht="18" hidden="1" customHeight="1" x14ac:dyDescent="0.2">
      <c r="A234" s="9" t="s">
        <v>1155</v>
      </c>
      <c r="B234" s="9" t="s">
        <v>1429</v>
      </c>
      <c r="C234" s="12" t="s">
        <v>1258</v>
      </c>
      <c r="D234" s="9"/>
      <c r="E234" s="11" t="s">
        <v>1186</v>
      </c>
      <c r="F234" s="52" t="s">
        <v>258</v>
      </c>
      <c r="I234" t="s">
        <v>271</v>
      </c>
      <c r="K234" s="10">
        <v>41902</v>
      </c>
      <c r="L234" t="s">
        <v>35</v>
      </c>
      <c r="M234" t="s">
        <v>15</v>
      </c>
      <c r="N234" s="107" t="str">
        <f>IF(_xlfn.NUMBERVALUE(DATEDIF(J234,K234,"Y"))-Table1[[#This Row],[Κατηγορία]]&lt;0,"* Check Age *","")</f>
        <v/>
      </c>
    </row>
    <row r="235" spans="1:14" ht="18" hidden="1" customHeight="1" x14ac:dyDescent="0.2">
      <c r="A235" s="9" t="s">
        <v>1155</v>
      </c>
      <c r="B235" s="9" t="s">
        <v>1429</v>
      </c>
      <c r="C235" s="12" t="s">
        <v>1258</v>
      </c>
      <c r="D235" s="9"/>
      <c r="E235" s="11" t="s">
        <v>1186</v>
      </c>
      <c r="I235" t="s">
        <v>248</v>
      </c>
      <c r="K235" s="10">
        <v>41902</v>
      </c>
      <c r="L235" t="s">
        <v>35</v>
      </c>
      <c r="M235" t="s">
        <v>15</v>
      </c>
      <c r="N235" s="107"/>
    </row>
    <row r="236" spans="1:14" ht="18" hidden="1" customHeight="1" x14ac:dyDescent="0.2">
      <c r="A236" s="9" t="s">
        <v>1155</v>
      </c>
      <c r="B236" s="9" t="s">
        <v>1429</v>
      </c>
      <c r="C236" s="12" t="s">
        <v>1258</v>
      </c>
      <c r="D236" s="9"/>
      <c r="E236" s="11" t="s">
        <v>1186</v>
      </c>
      <c r="I236" t="s">
        <v>249</v>
      </c>
      <c r="K236" s="10">
        <v>41902</v>
      </c>
      <c r="L236" t="s">
        <v>35</v>
      </c>
      <c r="M236" t="s">
        <v>15</v>
      </c>
      <c r="N236" s="107"/>
    </row>
    <row r="237" spans="1:14" ht="18" hidden="1" customHeight="1" x14ac:dyDescent="0.2">
      <c r="A237" s="9" t="s">
        <v>1155</v>
      </c>
      <c r="B237" s="9" t="s">
        <v>1429</v>
      </c>
      <c r="C237" s="12" t="s">
        <v>1258</v>
      </c>
      <c r="D237" s="9"/>
      <c r="E237" s="11" t="s">
        <v>1186</v>
      </c>
      <c r="I237" t="s">
        <v>250</v>
      </c>
      <c r="K237" s="10">
        <v>41902</v>
      </c>
      <c r="L237" t="s">
        <v>35</v>
      </c>
      <c r="M237" t="s">
        <v>15</v>
      </c>
      <c r="N237" s="107"/>
    </row>
    <row r="238" spans="1:14" ht="18" hidden="1" customHeight="1" x14ac:dyDescent="0.2">
      <c r="A238" s="9" t="s">
        <v>1155</v>
      </c>
      <c r="B238" s="9" t="s">
        <v>1429</v>
      </c>
      <c r="C238" s="12" t="s">
        <v>1259</v>
      </c>
      <c r="D238" s="9"/>
      <c r="E238" s="11" t="s">
        <v>1186</v>
      </c>
      <c r="F238" s="52" t="s">
        <v>882</v>
      </c>
      <c r="I238" t="s">
        <v>883</v>
      </c>
      <c r="K238" s="10">
        <v>44827</v>
      </c>
      <c r="L238" t="s">
        <v>95</v>
      </c>
      <c r="M238" t="s">
        <v>15</v>
      </c>
      <c r="N238" s="107" t="str">
        <f>IF(_xlfn.NUMBERVALUE(DATEDIF(J238,K238,"Y"))-Table1[[#This Row],[Κατηγορία]]&lt;0,"* Check Age *","")</f>
        <v/>
      </c>
    </row>
    <row r="239" spans="1:14" ht="18" hidden="1" customHeight="1" x14ac:dyDescent="0.2">
      <c r="A239" s="9" t="s">
        <v>1155</v>
      </c>
      <c r="B239" s="9" t="s">
        <v>1429</v>
      </c>
      <c r="C239" s="12" t="s">
        <v>1259</v>
      </c>
      <c r="D239" s="9"/>
      <c r="E239" s="11" t="s">
        <v>1186</v>
      </c>
      <c r="I239" t="s">
        <v>249</v>
      </c>
      <c r="K239" s="10">
        <v>44827</v>
      </c>
      <c r="L239" t="s">
        <v>95</v>
      </c>
      <c r="M239" t="s">
        <v>15</v>
      </c>
      <c r="N239" s="107"/>
    </row>
    <row r="240" spans="1:14" ht="18" hidden="1" customHeight="1" x14ac:dyDescent="0.2">
      <c r="A240" s="9" t="s">
        <v>1155</v>
      </c>
      <c r="B240" s="9" t="s">
        <v>1429</v>
      </c>
      <c r="C240" s="12" t="s">
        <v>1259</v>
      </c>
      <c r="D240" s="9"/>
      <c r="E240" s="11" t="s">
        <v>1186</v>
      </c>
      <c r="I240" t="s">
        <v>884</v>
      </c>
      <c r="K240" s="10">
        <v>44827</v>
      </c>
      <c r="L240" t="s">
        <v>95</v>
      </c>
      <c r="M240" t="s">
        <v>15</v>
      </c>
      <c r="N240" s="107"/>
    </row>
    <row r="241" spans="1:14" ht="18" hidden="1" customHeight="1" x14ac:dyDescent="0.2">
      <c r="A241" s="9" t="s">
        <v>1155</v>
      </c>
      <c r="B241" s="9" t="s">
        <v>1429</v>
      </c>
      <c r="C241" s="12" t="s">
        <v>1259</v>
      </c>
      <c r="D241" s="9"/>
      <c r="E241" s="11" t="s">
        <v>1186</v>
      </c>
      <c r="I241" t="s">
        <v>861</v>
      </c>
      <c r="K241" s="10">
        <v>44827</v>
      </c>
      <c r="L241" t="s">
        <v>95</v>
      </c>
      <c r="M241" t="s">
        <v>15</v>
      </c>
      <c r="N241" s="107"/>
    </row>
    <row r="242" spans="1:14" ht="18" hidden="1" customHeight="1" x14ac:dyDescent="0.2">
      <c r="A242" s="9" t="s">
        <v>1155</v>
      </c>
      <c r="B242" s="9" t="s">
        <v>1429</v>
      </c>
      <c r="C242" s="12" t="s">
        <v>1260</v>
      </c>
      <c r="D242" s="9"/>
      <c r="E242" s="11" t="s">
        <v>1186</v>
      </c>
      <c r="F242" s="52" t="s">
        <v>456</v>
      </c>
      <c r="I242" t="s">
        <v>494</v>
      </c>
      <c r="K242" s="10">
        <v>42265</v>
      </c>
      <c r="L242" t="s">
        <v>95</v>
      </c>
      <c r="M242" t="s">
        <v>15</v>
      </c>
      <c r="N242" s="107" t="str">
        <f>IF(_xlfn.NUMBERVALUE(DATEDIF(J242,K242,"Y"))-Table1[[#This Row],[Κατηγορία]]&lt;0,"* Check Age *","")</f>
        <v/>
      </c>
    </row>
    <row r="243" spans="1:14" ht="18" hidden="1" customHeight="1" x14ac:dyDescent="0.2">
      <c r="A243" s="9" t="s">
        <v>1155</v>
      </c>
      <c r="B243" s="9" t="s">
        <v>1429</v>
      </c>
      <c r="C243" s="12" t="s">
        <v>1260</v>
      </c>
      <c r="D243" s="9"/>
      <c r="E243" s="11" t="s">
        <v>1186</v>
      </c>
      <c r="I243" t="s">
        <v>493</v>
      </c>
      <c r="K243" s="10">
        <v>42265</v>
      </c>
      <c r="L243" t="s">
        <v>95</v>
      </c>
      <c r="M243" t="s">
        <v>15</v>
      </c>
      <c r="N243" s="107"/>
    </row>
    <row r="244" spans="1:14" ht="18" hidden="1" customHeight="1" x14ac:dyDescent="0.2">
      <c r="A244" s="9" t="s">
        <v>1155</v>
      </c>
      <c r="B244" s="9" t="s">
        <v>1429</v>
      </c>
      <c r="C244" s="12" t="s">
        <v>1260</v>
      </c>
      <c r="D244" s="9"/>
      <c r="E244" s="11" t="s">
        <v>1186</v>
      </c>
      <c r="I244" t="s">
        <v>495</v>
      </c>
      <c r="K244" s="10">
        <v>42265</v>
      </c>
      <c r="L244" t="s">
        <v>95</v>
      </c>
      <c r="M244" t="s">
        <v>15</v>
      </c>
      <c r="N244" s="107"/>
    </row>
    <row r="245" spans="1:14" ht="18" hidden="1" customHeight="1" x14ac:dyDescent="0.2">
      <c r="A245" s="9" t="s">
        <v>1155</v>
      </c>
      <c r="B245" s="9" t="s">
        <v>1429</v>
      </c>
      <c r="C245" s="12" t="s">
        <v>1260</v>
      </c>
      <c r="D245" s="9"/>
      <c r="E245" s="11" t="s">
        <v>1186</v>
      </c>
      <c r="I245" t="s">
        <v>496</v>
      </c>
      <c r="K245" s="10">
        <v>42265</v>
      </c>
      <c r="L245" t="s">
        <v>95</v>
      </c>
      <c r="M245" t="s">
        <v>15</v>
      </c>
      <c r="N245" s="107"/>
    </row>
    <row r="246" spans="1:14" ht="18" hidden="1" customHeight="1" x14ac:dyDescent="0.2">
      <c r="A246" s="9" t="s">
        <v>1155</v>
      </c>
      <c r="B246" s="9" t="s">
        <v>1429</v>
      </c>
      <c r="C246" s="12" t="s">
        <v>1261</v>
      </c>
      <c r="D246" s="9"/>
      <c r="E246" s="11" t="s">
        <v>1186</v>
      </c>
      <c r="F246" s="52" t="s">
        <v>968</v>
      </c>
      <c r="I246" t="s">
        <v>497</v>
      </c>
      <c r="K246" s="10">
        <v>45170</v>
      </c>
      <c r="L246" t="s">
        <v>57</v>
      </c>
      <c r="M246" t="s">
        <v>15</v>
      </c>
      <c r="N246" s="107" t="str">
        <f>IF(_xlfn.NUMBERVALUE(DATEDIF(J246,K246,"Y"))-Table1[[#This Row],[Κατηγορία]]&lt;0,"* Check Age *","")</f>
        <v/>
      </c>
    </row>
    <row r="247" spans="1:14" ht="18" hidden="1" customHeight="1" x14ac:dyDescent="0.2">
      <c r="A247" s="9" t="s">
        <v>1155</v>
      </c>
      <c r="B247" s="9" t="s">
        <v>1429</v>
      </c>
      <c r="C247" s="12" t="s">
        <v>1261</v>
      </c>
      <c r="D247" s="9"/>
      <c r="E247" s="11" t="s">
        <v>1186</v>
      </c>
      <c r="I247" t="s">
        <v>889</v>
      </c>
      <c r="K247" s="10">
        <v>45170</v>
      </c>
      <c r="L247" t="s">
        <v>57</v>
      </c>
      <c r="M247" t="s">
        <v>15</v>
      </c>
      <c r="N247" s="107"/>
    </row>
    <row r="248" spans="1:14" ht="18" hidden="1" customHeight="1" x14ac:dyDescent="0.2">
      <c r="A248" s="9" t="s">
        <v>1155</v>
      </c>
      <c r="B248" s="9" t="s">
        <v>1429</v>
      </c>
      <c r="C248" s="12" t="s">
        <v>1261</v>
      </c>
      <c r="D248" s="9"/>
      <c r="E248" s="11" t="s">
        <v>1186</v>
      </c>
      <c r="I248" t="s">
        <v>890</v>
      </c>
      <c r="K248" s="10">
        <v>45170</v>
      </c>
      <c r="L248" t="s">
        <v>57</v>
      </c>
      <c r="M248" t="s">
        <v>15</v>
      </c>
      <c r="N248" s="107"/>
    </row>
    <row r="249" spans="1:14" ht="18" hidden="1" customHeight="1" x14ac:dyDescent="0.2">
      <c r="A249" s="9" t="s">
        <v>1155</v>
      </c>
      <c r="B249" s="9" t="s">
        <v>1429</v>
      </c>
      <c r="C249" s="12" t="s">
        <v>1261</v>
      </c>
      <c r="D249" s="9"/>
      <c r="E249" s="11" t="s">
        <v>1186</v>
      </c>
      <c r="I249" t="s">
        <v>493</v>
      </c>
      <c r="K249" s="10">
        <v>45170</v>
      </c>
      <c r="L249" t="s">
        <v>57</v>
      </c>
      <c r="M249" t="s">
        <v>15</v>
      </c>
      <c r="N249" s="107"/>
    </row>
    <row r="250" spans="1:14" ht="18" hidden="1" customHeight="1" x14ac:dyDescent="0.2">
      <c r="A250" s="9" t="s">
        <v>1155</v>
      </c>
      <c r="B250" s="9" t="s">
        <v>1429</v>
      </c>
      <c r="C250" s="12" t="s">
        <v>1262</v>
      </c>
      <c r="D250" s="9"/>
      <c r="E250" s="11" t="s">
        <v>1186</v>
      </c>
      <c r="F250" s="52" t="s">
        <v>498</v>
      </c>
      <c r="I250" t="s">
        <v>500</v>
      </c>
      <c r="K250" s="10">
        <v>43729</v>
      </c>
      <c r="L250" t="s">
        <v>35</v>
      </c>
      <c r="M250" t="s">
        <v>15</v>
      </c>
      <c r="N250" s="107" t="str">
        <f>IF(_xlfn.NUMBERVALUE(DATEDIF(J250,K250,"Y"))-Table1[[#This Row],[Κατηγορία]]&lt;0,"* Check Age *","")</f>
        <v/>
      </c>
    </row>
    <row r="251" spans="1:14" ht="18" hidden="1" customHeight="1" x14ac:dyDescent="0.2">
      <c r="A251" s="9" t="s">
        <v>1155</v>
      </c>
      <c r="B251" s="9" t="s">
        <v>1429</v>
      </c>
      <c r="C251" s="12" t="s">
        <v>1262</v>
      </c>
      <c r="D251" s="9"/>
      <c r="E251" s="11" t="s">
        <v>1186</v>
      </c>
      <c r="I251" t="s">
        <v>492</v>
      </c>
      <c r="K251" s="10">
        <v>43729</v>
      </c>
      <c r="L251" t="s">
        <v>35</v>
      </c>
      <c r="M251" t="s">
        <v>15</v>
      </c>
      <c r="N251" s="107"/>
    </row>
    <row r="252" spans="1:14" ht="18" hidden="1" customHeight="1" x14ac:dyDescent="0.2">
      <c r="A252" s="9" t="s">
        <v>1155</v>
      </c>
      <c r="B252" s="9" t="s">
        <v>1429</v>
      </c>
      <c r="C252" s="12" t="s">
        <v>1262</v>
      </c>
      <c r="D252" s="9"/>
      <c r="E252" s="11" t="s">
        <v>1186</v>
      </c>
      <c r="I252" t="s">
        <v>499</v>
      </c>
      <c r="K252" s="10">
        <v>43729</v>
      </c>
      <c r="L252" t="s">
        <v>35</v>
      </c>
      <c r="M252" t="s">
        <v>15</v>
      </c>
      <c r="N252" s="107"/>
    </row>
    <row r="253" spans="1:14" ht="18" hidden="1" customHeight="1" x14ac:dyDescent="0.2">
      <c r="A253" s="9" t="s">
        <v>1155</v>
      </c>
      <c r="B253" s="9" t="s">
        <v>1429</v>
      </c>
      <c r="C253" s="12" t="s">
        <v>1262</v>
      </c>
      <c r="D253" s="9"/>
      <c r="E253" s="11" t="s">
        <v>1186</v>
      </c>
      <c r="I253" t="s">
        <v>501</v>
      </c>
      <c r="K253" s="10">
        <v>43729</v>
      </c>
      <c r="L253" t="s">
        <v>35</v>
      </c>
      <c r="M253" t="s">
        <v>15</v>
      </c>
      <c r="N253" s="107"/>
    </row>
    <row r="254" spans="1:14" ht="18" hidden="1" customHeight="1" x14ac:dyDescent="0.2">
      <c r="A254" s="9" t="s">
        <v>1155</v>
      </c>
      <c r="B254" s="9" t="s">
        <v>1429</v>
      </c>
      <c r="C254" s="12" t="s">
        <v>1263</v>
      </c>
      <c r="D254" s="9"/>
      <c r="E254" s="11" t="s">
        <v>1186</v>
      </c>
      <c r="F254" s="52" t="s">
        <v>891</v>
      </c>
      <c r="I254" t="s">
        <v>492</v>
      </c>
      <c r="K254" s="10">
        <v>44827</v>
      </c>
      <c r="L254" t="s">
        <v>95</v>
      </c>
      <c r="M254" t="s">
        <v>15</v>
      </c>
      <c r="N254" s="107" t="str">
        <f>IF(_xlfn.NUMBERVALUE(DATEDIF(J254,K254,"Y"))-Table1[[#This Row],[Κατηγορία]]&lt;0,"* Check Age *","")</f>
        <v/>
      </c>
    </row>
    <row r="255" spans="1:14" ht="18" hidden="1" customHeight="1" x14ac:dyDescent="0.2">
      <c r="A255" s="9" t="s">
        <v>1155</v>
      </c>
      <c r="B255" s="9" t="s">
        <v>1429</v>
      </c>
      <c r="C255" s="12" t="s">
        <v>1263</v>
      </c>
      <c r="D255" s="9"/>
      <c r="E255" s="11" t="s">
        <v>1186</v>
      </c>
      <c r="I255" t="s">
        <v>892</v>
      </c>
      <c r="K255" s="10">
        <v>44827</v>
      </c>
      <c r="L255" t="s">
        <v>95</v>
      </c>
      <c r="M255" t="s">
        <v>15</v>
      </c>
      <c r="N255" s="107"/>
    </row>
    <row r="256" spans="1:14" ht="18" hidden="1" customHeight="1" x14ac:dyDescent="0.2">
      <c r="A256" s="9" t="s">
        <v>1155</v>
      </c>
      <c r="B256" s="9" t="s">
        <v>1429</v>
      </c>
      <c r="C256" s="12" t="s">
        <v>1263</v>
      </c>
      <c r="D256" s="9"/>
      <c r="E256" s="11" t="s">
        <v>1186</v>
      </c>
      <c r="I256" t="s">
        <v>893</v>
      </c>
      <c r="K256" s="10">
        <v>44827</v>
      </c>
      <c r="L256" t="s">
        <v>95</v>
      </c>
      <c r="M256" t="s">
        <v>15</v>
      </c>
      <c r="N256" s="107"/>
    </row>
    <row r="257" spans="1:14" ht="18" hidden="1" customHeight="1" x14ac:dyDescent="0.2">
      <c r="A257" s="9" t="s">
        <v>1155</v>
      </c>
      <c r="B257" s="9" t="s">
        <v>1429</v>
      </c>
      <c r="C257" s="12" t="s">
        <v>1263</v>
      </c>
      <c r="D257" s="9"/>
      <c r="E257" s="11" t="s">
        <v>1186</v>
      </c>
      <c r="I257" t="s">
        <v>894</v>
      </c>
      <c r="K257" s="10">
        <v>44827</v>
      </c>
      <c r="L257" t="s">
        <v>95</v>
      </c>
      <c r="M257" t="s">
        <v>15</v>
      </c>
      <c r="N257" s="107"/>
    </row>
    <row r="258" spans="1:14" ht="18" hidden="1" customHeight="1" x14ac:dyDescent="0.2">
      <c r="A258" s="9" t="s">
        <v>1155</v>
      </c>
      <c r="B258" s="9" t="s">
        <v>1429</v>
      </c>
      <c r="C258" s="12" t="s">
        <v>1264</v>
      </c>
      <c r="D258" s="9"/>
      <c r="E258" s="11" t="s">
        <v>1186</v>
      </c>
      <c r="F258" s="52" t="s">
        <v>503</v>
      </c>
      <c r="I258" t="s">
        <v>504</v>
      </c>
      <c r="K258" s="10">
        <v>42265</v>
      </c>
      <c r="L258" t="s">
        <v>95</v>
      </c>
      <c r="M258" t="s">
        <v>15</v>
      </c>
      <c r="N258" s="107" t="str">
        <f>IF(_xlfn.NUMBERVALUE(DATEDIF(J258,K258,"Y"))-Table1[[#This Row],[Κατηγορία]]&lt;0,"* Check Age *","")</f>
        <v/>
      </c>
    </row>
    <row r="259" spans="1:14" ht="18" hidden="1" customHeight="1" x14ac:dyDescent="0.2">
      <c r="A259" s="9" t="s">
        <v>1155</v>
      </c>
      <c r="B259" s="9" t="s">
        <v>1429</v>
      </c>
      <c r="C259" s="12" t="s">
        <v>1264</v>
      </c>
      <c r="D259" s="9"/>
      <c r="E259" s="11" t="s">
        <v>1186</v>
      </c>
      <c r="I259" t="s">
        <v>505</v>
      </c>
      <c r="K259" s="10">
        <v>42265</v>
      </c>
      <c r="L259" t="s">
        <v>95</v>
      </c>
      <c r="M259" t="s">
        <v>15</v>
      </c>
      <c r="N259" s="107"/>
    </row>
    <row r="260" spans="1:14" ht="18" hidden="1" customHeight="1" x14ac:dyDescent="0.2">
      <c r="A260" s="9" t="s">
        <v>1155</v>
      </c>
      <c r="B260" s="9" t="s">
        <v>1429</v>
      </c>
      <c r="C260" s="12" t="s">
        <v>1264</v>
      </c>
      <c r="D260" s="9"/>
      <c r="E260" s="11" t="s">
        <v>1186</v>
      </c>
      <c r="I260" t="s">
        <v>506</v>
      </c>
      <c r="K260" s="10">
        <v>42265</v>
      </c>
      <c r="L260" t="s">
        <v>95</v>
      </c>
      <c r="M260" t="s">
        <v>15</v>
      </c>
      <c r="N260" s="107"/>
    </row>
    <row r="261" spans="1:14" ht="18" hidden="1" customHeight="1" x14ac:dyDescent="0.2">
      <c r="A261" s="9" t="s">
        <v>1155</v>
      </c>
      <c r="B261" s="9" t="s">
        <v>1429</v>
      </c>
      <c r="C261" s="12" t="s">
        <v>1264</v>
      </c>
      <c r="D261" s="9"/>
      <c r="E261" s="11" t="s">
        <v>1186</v>
      </c>
      <c r="I261" t="s">
        <v>507</v>
      </c>
      <c r="K261" s="10">
        <v>42265</v>
      </c>
      <c r="L261" t="s">
        <v>95</v>
      </c>
      <c r="M261" t="s">
        <v>15</v>
      </c>
      <c r="N261" s="107"/>
    </row>
    <row r="262" spans="1:14" ht="18" hidden="1" customHeight="1" x14ac:dyDescent="0.2">
      <c r="A262" s="9" t="s">
        <v>1155</v>
      </c>
      <c r="B262" s="9" t="s">
        <v>1429</v>
      </c>
      <c r="C262" s="12" t="s">
        <v>1265</v>
      </c>
      <c r="D262" s="9"/>
      <c r="E262" s="11" t="s">
        <v>1186</v>
      </c>
      <c r="F262" s="52" t="s">
        <v>895</v>
      </c>
      <c r="I262" t="s">
        <v>504</v>
      </c>
      <c r="K262" s="10">
        <v>44827</v>
      </c>
      <c r="L262" t="s">
        <v>95</v>
      </c>
      <c r="M262" t="s">
        <v>15</v>
      </c>
      <c r="N262" s="107" t="str">
        <f>IF(_xlfn.NUMBERVALUE(DATEDIF(J262,K262,"Y"))-Table1[[#This Row],[Κατηγορία]]&lt;0,"* Check Age *","")</f>
        <v/>
      </c>
    </row>
    <row r="263" spans="1:14" ht="18" hidden="1" customHeight="1" x14ac:dyDescent="0.2">
      <c r="A263" s="9" t="s">
        <v>1155</v>
      </c>
      <c r="B263" s="9" t="s">
        <v>1429</v>
      </c>
      <c r="C263" s="12" t="s">
        <v>1265</v>
      </c>
      <c r="D263" s="9"/>
      <c r="E263" s="11" t="s">
        <v>1186</v>
      </c>
      <c r="I263" t="s">
        <v>896</v>
      </c>
      <c r="K263" s="10">
        <v>44827</v>
      </c>
      <c r="L263" t="s">
        <v>95</v>
      </c>
      <c r="M263" t="s">
        <v>15</v>
      </c>
      <c r="N263" s="107"/>
    </row>
    <row r="264" spans="1:14" ht="18" hidden="1" customHeight="1" x14ac:dyDescent="0.2">
      <c r="A264" s="9" t="s">
        <v>1155</v>
      </c>
      <c r="B264" s="9" t="s">
        <v>1429</v>
      </c>
      <c r="C264" s="12" t="s">
        <v>1265</v>
      </c>
      <c r="D264" s="9"/>
      <c r="E264" s="11" t="s">
        <v>1186</v>
      </c>
      <c r="I264" t="s">
        <v>897</v>
      </c>
      <c r="K264" s="10">
        <v>44827</v>
      </c>
      <c r="L264" t="s">
        <v>95</v>
      </c>
      <c r="M264" t="s">
        <v>15</v>
      </c>
      <c r="N264" s="107"/>
    </row>
    <row r="265" spans="1:14" ht="18" hidden="1" customHeight="1" x14ac:dyDescent="0.2">
      <c r="A265" s="9" t="s">
        <v>1155</v>
      </c>
      <c r="B265" s="9" t="s">
        <v>1429</v>
      </c>
      <c r="C265" s="12" t="s">
        <v>1265</v>
      </c>
      <c r="D265" s="9"/>
      <c r="E265" s="11" t="s">
        <v>1186</v>
      </c>
      <c r="I265" t="s">
        <v>898</v>
      </c>
      <c r="K265" s="10">
        <v>44827</v>
      </c>
      <c r="L265" t="s">
        <v>95</v>
      </c>
      <c r="M265" t="s">
        <v>15</v>
      </c>
      <c r="N265" s="107"/>
    </row>
    <row r="266" spans="1:14" ht="18" hidden="1" customHeight="1" x14ac:dyDescent="0.2">
      <c r="A266" s="9" t="s">
        <v>1202</v>
      </c>
      <c r="B266" t="s">
        <v>1429</v>
      </c>
      <c r="C266" s="23" t="s">
        <v>1256</v>
      </c>
      <c r="E266" s="11" t="s">
        <v>1186</v>
      </c>
      <c r="F266" s="57" t="s">
        <v>885</v>
      </c>
      <c r="G266" s="1"/>
      <c r="H266" s="58"/>
      <c r="I266" s="1" t="s">
        <v>886</v>
      </c>
      <c r="J266" s="23"/>
      <c r="K266" s="15">
        <v>44827</v>
      </c>
      <c r="L266" s="1" t="s">
        <v>95</v>
      </c>
      <c r="M266" s="1" t="s">
        <v>15</v>
      </c>
      <c r="N266" s="107" t="str">
        <f>IF(_xlfn.NUMBERVALUE(DATEDIF(J266,K266,"Y"))-Table1[[#This Row],[Κατηγορία]]&lt;0,"* Check Age *","")</f>
        <v/>
      </c>
    </row>
    <row r="267" spans="1:14" ht="18" hidden="1" customHeight="1" x14ac:dyDescent="0.2">
      <c r="A267" s="9" t="s">
        <v>1202</v>
      </c>
      <c r="B267" t="s">
        <v>1429</v>
      </c>
      <c r="C267" s="23" t="s">
        <v>1256</v>
      </c>
      <c r="E267" s="11" t="s">
        <v>1186</v>
      </c>
      <c r="F267" s="57"/>
      <c r="G267" s="1"/>
      <c r="H267" s="58"/>
      <c r="I267" s="1" t="s">
        <v>633</v>
      </c>
      <c r="J267" s="23"/>
      <c r="K267" s="15">
        <v>44827</v>
      </c>
      <c r="L267" s="1" t="s">
        <v>95</v>
      </c>
      <c r="M267" s="1" t="s">
        <v>15</v>
      </c>
      <c r="N267" s="107"/>
    </row>
    <row r="268" spans="1:14" ht="18" hidden="1" customHeight="1" x14ac:dyDescent="0.2">
      <c r="A268" s="9" t="s">
        <v>1202</v>
      </c>
      <c r="B268" t="s">
        <v>1429</v>
      </c>
      <c r="C268" s="23" t="s">
        <v>1256</v>
      </c>
      <c r="E268" s="11" t="s">
        <v>1186</v>
      </c>
      <c r="F268" s="57"/>
      <c r="G268" s="1"/>
      <c r="H268" s="58"/>
      <c r="I268" s="1" t="s">
        <v>887</v>
      </c>
      <c r="J268" s="23"/>
      <c r="K268" s="15">
        <v>44827</v>
      </c>
      <c r="L268" s="1" t="s">
        <v>95</v>
      </c>
      <c r="M268" s="1" t="s">
        <v>15</v>
      </c>
      <c r="N268" s="107"/>
    </row>
    <row r="269" spans="1:14" ht="18" hidden="1" customHeight="1" x14ac:dyDescent="0.2">
      <c r="A269" s="9" t="s">
        <v>1202</v>
      </c>
      <c r="B269" t="s">
        <v>1429</v>
      </c>
      <c r="C269" s="23" t="s">
        <v>1256</v>
      </c>
      <c r="E269" s="11" t="s">
        <v>1186</v>
      </c>
      <c r="F269" s="57"/>
      <c r="G269" s="1"/>
      <c r="H269" s="58"/>
      <c r="I269" s="1" t="s">
        <v>888</v>
      </c>
      <c r="J269" s="23"/>
      <c r="K269" s="15">
        <v>44827</v>
      </c>
      <c r="L269" s="1" t="s">
        <v>95</v>
      </c>
      <c r="M269" s="1" t="s">
        <v>15</v>
      </c>
      <c r="N269" s="107"/>
    </row>
    <row r="270" spans="1:14" ht="18" hidden="1" customHeight="1" x14ac:dyDescent="0.2">
      <c r="A270" s="9" t="s">
        <v>1202</v>
      </c>
      <c r="B270" t="s">
        <v>1429</v>
      </c>
      <c r="C270" s="23" t="s">
        <v>1257</v>
      </c>
      <c r="E270" s="11" t="s">
        <v>1186</v>
      </c>
      <c r="F270" s="57" t="s">
        <v>634</v>
      </c>
      <c r="G270" s="1"/>
      <c r="H270" s="58"/>
      <c r="I270" s="1" t="s">
        <v>915</v>
      </c>
      <c r="J270" s="23"/>
      <c r="K270" s="15">
        <v>43729</v>
      </c>
      <c r="L270" s="1" t="s">
        <v>35</v>
      </c>
      <c r="M270" s="1" t="s">
        <v>15</v>
      </c>
      <c r="N270" s="107" t="str">
        <f>IF(_xlfn.NUMBERVALUE(DATEDIF(J270,K270,"Y"))-Table1[[#This Row],[Κατηγορία]]&lt;0,"* Check Age *","")</f>
        <v/>
      </c>
    </row>
    <row r="271" spans="1:14" ht="18" hidden="1" customHeight="1" x14ac:dyDescent="0.2">
      <c r="A271" s="9" t="s">
        <v>1202</v>
      </c>
      <c r="B271" t="s">
        <v>1429</v>
      </c>
      <c r="C271" s="23" t="s">
        <v>1257</v>
      </c>
      <c r="E271" s="11" t="s">
        <v>1186</v>
      </c>
      <c r="F271" s="57"/>
      <c r="G271" s="1"/>
      <c r="H271" s="58"/>
      <c r="I271" s="1" t="s">
        <v>635</v>
      </c>
      <c r="J271" s="23"/>
      <c r="K271" s="15">
        <v>43729</v>
      </c>
      <c r="L271" s="1" t="s">
        <v>35</v>
      </c>
      <c r="M271" s="1" t="s">
        <v>15</v>
      </c>
      <c r="N271" s="107"/>
    </row>
    <row r="272" spans="1:14" ht="18" hidden="1" customHeight="1" x14ac:dyDescent="0.2">
      <c r="A272" s="9" t="s">
        <v>1202</v>
      </c>
      <c r="B272" t="s">
        <v>1429</v>
      </c>
      <c r="C272" s="23" t="s">
        <v>1257</v>
      </c>
      <c r="E272" s="11" t="s">
        <v>1186</v>
      </c>
      <c r="F272" s="57"/>
      <c r="G272" s="1"/>
      <c r="H272" s="58"/>
      <c r="I272" s="1" t="s">
        <v>636</v>
      </c>
      <c r="J272" s="23"/>
      <c r="K272" s="15">
        <v>43729</v>
      </c>
      <c r="L272" s="1" t="s">
        <v>35</v>
      </c>
      <c r="M272" s="1" t="s">
        <v>15</v>
      </c>
      <c r="N272" s="107"/>
    </row>
    <row r="273" spans="1:14" ht="18" hidden="1" customHeight="1" x14ac:dyDescent="0.2">
      <c r="A273" s="9" t="s">
        <v>1202</v>
      </c>
      <c r="B273" t="s">
        <v>1429</v>
      </c>
      <c r="C273" s="23" t="s">
        <v>1257</v>
      </c>
      <c r="E273" s="11" t="s">
        <v>1186</v>
      </c>
      <c r="F273" s="57"/>
      <c r="G273" s="1"/>
      <c r="H273" s="58"/>
      <c r="I273" s="1" t="s">
        <v>637</v>
      </c>
      <c r="J273" s="23"/>
      <c r="K273" s="15">
        <v>43729</v>
      </c>
      <c r="L273" s="1" t="s">
        <v>35</v>
      </c>
      <c r="M273" s="1" t="s">
        <v>15</v>
      </c>
      <c r="N273" s="107"/>
    </row>
    <row r="274" spans="1:14" ht="18" hidden="1" customHeight="1" x14ac:dyDescent="0.2">
      <c r="A274" s="9" t="s">
        <v>1202</v>
      </c>
      <c r="B274" t="s">
        <v>1429</v>
      </c>
      <c r="C274" s="23" t="s">
        <v>1258</v>
      </c>
      <c r="E274" s="11" t="s">
        <v>1186</v>
      </c>
      <c r="F274" s="57" t="s">
        <v>638</v>
      </c>
      <c r="G274" s="1"/>
      <c r="H274" s="58"/>
      <c r="I274" s="1" t="s">
        <v>639</v>
      </c>
      <c r="J274" s="23"/>
      <c r="K274" s="15">
        <v>43729</v>
      </c>
      <c r="L274" s="1" t="s">
        <v>35</v>
      </c>
      <c r="M274" s="1" t="s">
        <v>15</v>
      </c>
      <c r="N274" s="107" t="str">
        <f>IF(_xlfn.NUMBERVALUE(DATEDIF(J274,K274,"Y"))-Table1[[#This Row],[Κατηγορία]]&lt;0,"* Check Age *","")</f>
        <v/>
      </c>
    </row>
    <row r="275" spans="1:14" ht="18" hidden="1" customHeight="1" x14ac:dyDescent="0.2">
      <c r="A275" s="9" t="s">
        <v>1202</v>
      </c>
      <c r="B275" t="s">
        <v>1429</v>
      </c>
      <c r="C275" s="23" t="s">
        <v>1258</v>
      </c>
      <c r="E275" s="11" t="s">
        <v>1186</v>
      </c>
      <c r="F275" s="57"/>
      <c r="G275" s="1"/>
      <c r="H275" s="58"/>
      <c r="I275" s="1" t="s">
        <v>769</v>
      </c>
      <c r="J275" s="23"/>
      <c r="K275" s="15">
        <v>43729</v>
      </c>
      <c r="L275" s="1" t="s">
        <v>35</v>
      </c>
      <c r="M275" s="1" t="s">
        <v>15</v>
      </c>
      <c r="N275" s="107"/>
    </row>
    <row r="276" spans="1:14" ht="18" hidden="1" customHeight="1" x14ac:dyDescent="0.2">
      <c r="A276" s="9" t="s">
        <v>1202</v>
      </c>
      <c r="B276" t="s">
        <v>1429</v>
      </c>
      <c r="C276" s="23" t="s">
        <v>1258</v>
      </c>
      <c r="E276" s="11" t="s">
        <v>1186</v>
      </c>
      <c r="F276" s="57"/>
      <c r="G276" s="1"/>
      <c r="H276" s="58"/>
      <c r="I276" s="1" t="s">
        <v>640</v>
      </c>
      <c r="J276" s="23"/>
      <c r="K276" s="15">
        <v>43729</v>
      </c>
      <c r="L276" s="1" t="s">
        <v>35</v>
      </c>
      <c r="M276" s="1" t="s">
        <v>15</v>
      </c>
      <c r="N276" s="107"/>
    </row>
    <row r="277" spans="1:14" ht="18" hidden="1" customHeight="1" x14ac:dyDescent="0.2">
      <c r="A277" s="9" t="s">
        <v>1202</v>
      </c>
      <c r="B277" t="s">
        <v>1429</v>
      </c>
      <c r="C277" s="23" t="s">
        <v>1258</v>
      </c>
      <c r="E277" s="11" t="s">
        <v>1186</v>
      </c>
      <c r="F277" s="57"/>
      <c r="G277" s="1"/>
      <c r="H277" s="58"/>
      <c r="I277" s="1" t="s">
        <v>641</v>
      </c>
      <c r="J277" s="23"/>
      <c r="K277" s="15">
        <v>43729</v>
      </c>
      <c r="L277" s="1" t="s">
        <v>35</v>
      </c>
      <c r="M277" s="1" t="s">
        <v>15</v>
      </c>
      <c r="N277" s="107"/>
    </row>
    <row r="278" spans="1:14" ht="18" hidden="1" customHeight="1" x14ac:dyDescent="0.2">
      <c r="A278" s="9" t="s">
        <v>1202</v>
      </c>
      <c r="B278" t="s">
        <v>1429</v>
      </c>
      <c r="C278" s="23" t="s">
        <v>1259</v>
      </c>
      <c r="E278" s="11" t="s">
        <v>1186</v>
      </c>
      <c r="F278" s="57" t="s">
        <v>647</v>
      </c>
      <c r="G278" s="1"/>
      <c r="H278" s="58"/>
      <c r="I278" s="1" t="s">
        <v>646</v>
      </c>
      <c r="J278" s="23"/>
      <c r="K278" s="15">
        <v>43729</v>
      </c>
      <c r="L278" s="1" t="s">
        <v>35</v>
      </c>
      <c r="M278" s="1" t="s">
        <v>15</v>
      </c>
      <c r="N278" s="107" t="str">
        <f>IF(_xlfn.NUMBERVALUE(DATEDIF(J278,K278,"Y"))-Table1[[#This Row],[Κατηγορία]]&lt;0,"* Check Age *","")</f>
        <v/>
      </c>
    </row>
    <row r="279" spans="1:14" ht="18" hidden="1" customHeight="1" x14ac:dyDescent="0.2">
      <c r="A279" s="9" t="s">
        <v>1202</v>
      </c>
      <c r="B279" t="s">
        <v>1429</v>
      </c>
      <c r="C279" s="23" t="s">
        <v>1259</v>
      </c>
      <c r="E279" s="11" t="s">
        <v>1186</v>
      </c>
      <c r="F279" s="57"/>
      <c r="G279" s="1"/>
      <c r="H279" s="58"/>
      <c r="I279" s="1" t="s">
        <v>643</v>
      </c>
      <c r="J279" s="23"/>
      <c r="K279" s="15">
        <v>43729</v>
      </c>
      <c r="L279" s="1" t="s">
        <v>35</v>
      </c>
      <c r="M279" s="1" t="s">
        <v>15</v>
      </c>
      <c r="N279" s="107"/>
    </row>
    <row r="280" spans="1:14" ht="18" hidden="1" customHeight="1" x14ac:dyDescent="0.2">
      <c r="A280" s="9" t="s">
        <v>1202</v>
      </c>
      <c r="B280" t="s">
        <v>1429</v>
      </c>
      <c r="C280" s="23" t="s">
        <v>1259</v>
      </c>
      <c r="E280" s="11" t="s">
        <v>1186</v>
      </c>
      <c r="F280" s="57"/>
      <c r="G280" s="1"/>
      <c r="H280" s="58"/>
      <c r="I280" s="1" t="s">
        <v>645</v>
      </c>
      <c r="J280" s="23"/>
      <c r="K280" s="15">
        <v>43729</v>
      </c>
      <c r="L280" s="1" t="s">
        <v>35</v>
      </c>
      <c r="M280" s="1" t="s">
        <v>15</v>
      </c>
      <c r="N280" s="107"/>
    </row>
    <row r="281" spans="1:14" ht="18" hidden="1" customHeight="1" x14ac:dyDescent="0.2">
      <c r="A281" s="9" t="s">
        <v>1202</v>
      </c>
      <c r="B281" t="s">
        <v>1429</v>
      </c>
      <c r="C281" s="23" t="s">
        <v>1259</v>
      </c>
      <c r="E281" s="11" t="s">
        <v>1186</v>
      </c>
      <c r="F281" s="57"/>
      <c r="G281" s="1"/>
      <c r="H281" s="58"/>
      <c r="I281" s="1" t="s">
        <v>644</v>
      </c>
      <c r="J281" s="23"/>
      <c r="K281" s="15">
        <v>43729</v>
      </c>
      <c r="L281" s="1" t="s">
        <v>35</v>
      </c>
      <c r="M281" s="1" t="s">
        <v>15</v>
      </c>
      <c r="N281" s="107"/>
    </row>
    <row r="282" spans="1:14" ht="18" hidden="1" customHeight="1" x14ac:dyDescent="0.2">
      <c r="A282" s="9" t="s">
        <v>1202</v>
      </c>
      <c r="B282" t="s">
        <v>1429</v>
      </c>
      <c r="C282" s="23" t="s">
        <v>1260</v>
      </c>
      <c r="E282" s="11" t="s">
        <v>1186</v>
      </c>
      <c r="F282" s="57" t="s">
        <v>911</v>
      </c>
      <c r="G282" s="1"/>
      <c r="H282" s="58"/>
      <c r="I282" s="1" t="s">
        <v>651</v>
      </c>
      <c r="J282" s="23"/>
      <c r="K282" s="15">
        <v>44827</v>
      </c>
      <c r="L282" s="1" t="s">
        <v>95</v>
      </c>
      <c r="M282" s="1" t="s">
        <v>15</v>
      </c>
      <c r="N282" s="107" t="str">
        <f>IF(_xlfn.NUMBERVALUE(DATEDIF(J282,K282,"Y"))-Table1[[#This Row],[Κατηγορία]]&lt;0,"* Check Age *","")</f>
        <v/>
      </c>
    </row>
    <row r="283" spans="1:14" ht="18" hidden="1" customHeight="1" x14ac:dyDescent="0.2">
      <c r="A283" s="9" t="s">
        <v>1202</v>
      </c>
      <c r="B283" t="s">
        <v>1429</v>
      </c>
      <c r="C283" s="23" t="s">
        <v>1260</v>
      </c>
      <c r="E283" s="11" t="s">
        <v>1186</v>
      </c>
      <c r="F283" s="57"/>
      <c r="G283" s="1"/>
      <c r="H283" s="58"/>
      <c r="I283" s="1" t="s">
        <v>912</v>
      </c>
      <c r="J283" s="23"/>
      <c r="K283" s="15">
        <v>44827</v>
      </c>
      <c r="L283" s="1" t="s">
        <v>95</v>
      </c>
      <c r="M283" s="1" t="s">
        <v>15</v>
      </c>
      <c r="N283" s="107"/>
    </row>
    <row r="284" spans="1:14" ht="18" hidden="1" customHeight="1" x14ac:dyDescent="0.2">
      <c r="A284" s="9" t="s">
        <v>1202</v>
      </c>
      <c r="B284" t="s">
        <v>1429</v>
      </c>
      <c r="C284" s="23" t="s">
        <v>1260</v>
      </c>
      <c r="E284" s="11" t="s">
        <v>1186</v>
      </c>
      <c r="F284" s="57"/>
      <c r="G284" s="1"/>
      <c r="H284" s="58"/>
      <c r="I284" s="1" t="s">
        <v>644</v>
      </c>
      <c r="J284" s="23"/>
      <c r="K284" s="15">
        <v>44827</v>
      </c>
      <c r="L284" s="1" t="s">
        <v>95</v>
      </c>
      <c r="M284" s="1" t="s">
        <v>15</v>
      </c>
      <c r="N284" s="107"/>
    </row>
    <row r="285" spans="1:14" ht="18" hidden="1" customHeight="1" x14ac:dyDescent="0.2">
      <c r="A285" s="9" t="s">
        <v>1202</v>
      </c>
      <c r="B285" t="s">
        <v>1429</v>
      </c>
      <c r="C285" s="23" t="s">
        <v>1260</v>
      </c>
      <c r="E285" s="11" t="s">
        <v>1186</v>
      </c>
      <c r="F285" s="57"/>
      <c r="G285" s="1"/>
      <c r="H285" s="58"/>
      <c r="I285" s="1" t="s">
        <v>643</v>
      </c>
      <c r="J285" s="23"/>
      <c r="K285" s="15">
        <v>44827</v>
      </c>
      <c r="L285" s="1" t="s">
        <v>95</v>
      </c>
      <c r="M285" s="1" t="s">
        <v>15</v>
      </c>
      <c r="N285" s="107"/>
    </row>
    <row r="286" spans="1:14" ht="18" hidden="1" customHeight="1" x14ac:dyDescent="0.2">
      <c r="A286" s="9" t="s">
        <v>1202</v>
      </c>
      <c r="B286" t="s">
        <v>1429</v>
      </c>
      <c r="C286" s="23" t="s">
        <v>1261</v>
      </c>
      <c r="E286" s="11" t="s">
        <v>1186</v>
      </c>
      <c r="F286" s="57" t="s">
        <v>1435</v>
      </c>
      <c r="G286" s="1"/>
      <c r="H286" s="58"/>
      <c r="I286" s="1" t="s">
        <v>1432</v>
      </c>
      <c r="J286" s="23"/>
      <c r="K286" s="15">
        <v>45927</v>
      </c>
      <c r="L286" s="1" t="s">
        <v>27</v>
      </c>
      <c r="M286" s="1" t="s">
        <v>177</v>
      </c>
      <c r="N286" s="107"/>
    </row>
    <row r="287" spans="1:14" ht="18" hidden="1" customHeight="1" x14ac:dyDescent="0.2">
      <c r="A287" s="9" t="s">
        <v>1202</v>
      </c>
      <c r="B287" t="s">
        <v>1429</v>
      </c>
      <c r="C287" s="23" t="s">
        <v>1261</v>
      </c>
      <c r="E287" s="11" t="s">
        <v>1186</v>
      </c>
      <c r="F287" s="57"/>
      <c r="G287" s="1"/>
      <c r="H287" s="58"/>
      <c r="I287" s="1" t="s">
        <v>1104</v>
      </c>
      <c r="J287" s="15">
        <v>19178</v>
      </c>
      <c r="K287" s="15">
        <v>45927</v>
      </c>
      <c r="L287" s="1" t="s">
        <v>27</v>
      </c>
      <c r="M287" s="1" t="s">
        <v>177</v>
      </c>
      <c r="N287" s="107"/>
    </row>
    <row r="288" spans="1:14" ht="18" hidden="1" customHeight="1" x14ac:dyDescent="0.2">
      <c r="A288" s="9" t="s">
        <v>1202</v>
      </c>
      <c r="B288" t="s">
        <v>1429</v>
      </c>
      <c r="C288" s="23" t="s">
        <v>1261</v>
      </c>
      <c r="E288" s="11" t="s">
        <v>1186</v>
      </c>
      <c r="F288" s="57"/>
      <c r="G288" s="1"/>
      <c r="H288" s="58"/>
      <c r="I288" s="1" t="s">
        <v>1000</v>
      </c>
      <c r="J288" s="15">
        <v>21892</v>
      </c>
      <c r="K288" s="15">
        <v>45927</v>
      </c>
      <c r="L288" s="1" t="s">
        <v>27</v>
      </c>
      <c r="M288" s="1" t="s">
        <v>177</v>
      </c>
      <c r="N288" s="107"/>
    </row>
    <row r="289" spans="1:14" ht="18" hidden="1" customHeight="1" x14ac:dyDescent="0.2">
      <c r="A289" s="9" t="s">
        <v>1202</v>
      </c>
      <c r="B289" t="s">
        <v>1429</v>
      </c>
      <c r="C289" s="23" t="s">
        <v>1261</v>
      </c>
      <c r="E289" s="11" t="s">
        <v>1186</v>
      </c>
      <c r="F289" s="57"/>
      <c r="G289" s="1"/>
      <c r="H289" s="58"/>
      <c r="I289" s="1" t="s">
        <v>1433</v>
      </c>
      <c r="J289" s="23"/>
      <c r="K289" s="15">
        <v>45927</v>
      </c>
      <c r="L289" s="1" t="s">
        <v>27</v>
      </c>
      <c r="M289" s="1" t="s">
        <v>177</v>
      </c>
      <c r="N289" s="107" t="str">
        <f>IF(_xlfn.NUMBERVALUE(DATEDIF(J289,K289,"Y"))-Table1[[#This Row],[Κατηγορία]]&lt;0,"* Check Age *","")</f>
        <v/>
      </c>
    </row>
    <row r="290" spans="1:14" ht="18" hidden="1" customHeight="1" x14ac:dyDescent="0.2">
      <c r="A290" s="9" t="s">
        <v>1391</v>
      </c>
      <c r="B290" t="s">
        <v>1429</v>
      </c>
      <c r="C290" s="23">
        <v>45</v>
      </c>
      <c r="E290" s="11" t="s">
        <v>1186</v>
      </c>
      <c r="F290" s="67" t="s">
        <v>1404</v>
      </c>
      <c r="G290" s="75"/>
      <c r="H290" s="58"/>
      <c r="I290" s="1" t="s">
        <v>1392</v>
      </c>
      <c r="J290" s="23"/>
      <c r="K290" s="15">
        <v>45899</v>
      </c>
      <c r="L290" s="1" t="s">
        <v>1409</v>
      </c>
      <c r="M290" s="1" t="s">
        <v>15</v>
      </c>
      <c r="N290" s="107" t="str">
        <f>IF(_xlfn.NUMBERVALUE(DATEDIF(J290,K290,"Y"))-Table1[[#This Row],[Κατηγορία]]&lt;0,"* Check Age *","")</f>
        <v/>
      </c>
    </row>
    <row r="291" spans="1:14" ht="18" hidden="1" customHeight="1" x14ac:dyDescent="0.2">
      <c r="A291" s="9" t="s">
        <v>1391</v>
      </c>
      <c r="B291" t="s">
        <v>1429</v>
      </c>
      <c r="C291" s="23">
        <v>45</v>
      </c>
      <c r="E291" s="11" t="s">
        <v>1186</v>
      </c>
      <c r="F291" s="67"/>
      <c r="G291" s="75"/>
      <c r="H291" s="58"/>
      <c r="I291" s="1" t="s">
        <v>1393</v>
      </c>
      <c r="J291" s="23"/>
      <c r="K291" s="15">
        <v>45899</v>
      </c>
      <c r="L291" s="1" t="s">
        <v>1409</v>
      </c>
      <c r="M291" s="1" t="s">
        <v>15</v>
      </c>
      <c r="N291" s="107"/>
    </row>
    <row r="292" spans="1:14" ht="18" hidden="1" customHeight="1" x14ac:dyDescent="0.2">
      <c r="A292" s="9" t="s">
        <v>1391</v>
      </c>
      <c r="B292" t="s">
        <v>1429</v>
      </c>
      <c r="C292" s="23">
        <v>45</v>
      </c>
      <c r="E292" s="11" t="s">
        <v>1186</v>
      </c>
      <c r="F292" s="67"/>
      <c r="G292" s="75"/>
      <c r="H292" s="58"/>
      <c r="I292" s="1" t="s">
        <v>1395</v>
      </c>
      <c r="J292" s="23"/>
      <c r="K292" s="15">
        <v>45899</v>
      </c>
      <c r="L292" s="1" t="s">
        <v>1409</v>
      </c>
      <c r="M292" s="1" t="s">
        <v>15</v>
      </c>
      <c r="N292" s="107"/>
    </row>
    <row r="293" spans="1:14" ht="18" hidden="1" customHeight="1" x14ac:dyDescent="0.2">
      <c r="A293" s="9" t="s">
        <v>1391</v>
      </c>
      <c r="B293" t="s">
        <v>1429</v>
      </c>
      <c r="C293" s="23">
        <v>45</v>
      </c>
      <c r="E293" s="11" t="s">
        <v>1186</v>
      </c>
      <c r="F293" s="67"/>
      <c r="G293" s="75"/>
      <c r="H293" s="58"/>
      <c r="I293" s="1" t="s">
        <v>1394</v>
      </c>
      <c r="J293" s="23"/>
      <c r="K293" s="15">
        <v>45899</v>
      </c>
      <c r="L293" s="1" t="s">
        <v>1409</v>
      </c>
      <c r="M293" s="1" t="s">
        <v>15</v>
      </c>
      <c r="N293" s="107"/>
    </row>
    <row r="294" spans="1:14" ht="18" hidden="1" customHeight="1" x14ac:dyDescent="0.2">
      <c r="A294" s="9" t="s">
        <v>1391</v>
      </c>
      <c r="B294" t="s">
        <v>1429</v>
      </c>
      <c r="C294" s="23">
        <v>50</v>
      </c>
      <c r="E294" s="11" t="s">
        <v>1186</v>
      </c>
      <c r="F294" s="67" t="s">
        <v>1405</v>
      </c>
      <c r="G294" s="75"/>
      <c r="H294" s="58"/>
      <c r="I294" s="1" t="s">
        <v>1398</v>
      </c>
      <c r="J294" s="23"/>
      <c r="K294" s="15">
        <v>45899</v>
      </c>
      <c r="L294" s="1" t="s">
        <v>1409</v>
      </c>
      <c r="M294" s="1" t="s">
        <v>15</v>
      </c>
      <c r="N294" s="107" t="str">
        <f>IF(_xlfn.NUMBERVALUE(DATEDIF(J294,K294,"Y"))-Table1[[#This Row],[Κατηγορία]]&lt;0,"* Check Age *","")</f>
        <v/>
      </c>
    </row>
    <row r="295" spans="1:14" ht="18" hidden="1" customHeight="1" x14ac:dyDescent="0.2">
      <c r="A295" s="9" t="s">
        <v>1391</v>
      </c>
      <c r="B295" t="s">
        <v>1429</v>
      </c>
      <c r="C295" s="23">
        <v>50</v>
      </c>
      <c r="E295" s="11" t="s">
        <v>1186</v>
      </c>
      <c r="F295" s="67"/>
      <c r="G295" s="75"/>
      <c r="H295" s="58"/>
      <c r="I295" s="1" t="s">
        <v>1399</v>
      </c>
      <c r="J295" s="23"/>
      <c r="K295" s="15">
        <v>45899</v>
      </c>
      <c r="L295" s="1" t="s">
        <v>1409</v>
      </c>
      <c r="M295" s="1" t="s">
        <v>15</v>
      </c>
      <c r="N295" s="107"/>
    </row>
    <row r="296" spans="1:14" ht="18" hidden="1" customHeight="1" x14ac:dyDescent="0.2">
      <c r="A296" s="9" t="s">
        <v>1391</v>
      </c>
      <c r="B296" t="s">
        <v>1429</v>
      </c>
      <c r="C296" s="23">
        <v>50</v>
      </c>
      <c r="E296" s="11" t="s">
        <v>1186</v>
      </c>
      <c r="F296" s="67"/>
      <c r="G296" s="75"/>
      <c r="H296" s="58"/>
      <c r="I296" s="1" t="s">
        <v>1400</v>
      </c>
      <c r="J296" s="23"/>
      <c r="K296" s="15">
        <v>45899</v>
      </c>
      <c r="L296" s="1" t="s">
        <v>1409</v>
      </c>
      <c r="M296" s="1" t="s">
        <v>15</v>
      </c>
      <c r="N296" s="107"/>
    </row>
    <row r="297" spans="1:14" ht="18" hidden="1" customHeight="1" x14ac:dyDescent="0.2">
      <c r="A297" s="9" t="s">
        <v>1391</v>
      </c>
      <c r="B297" t="s">
        <v>1429</v>
      </c>
      <c r="C297" s="23">
        <v>50</v>
      </c>
      <c r="E297" s="11" t="s">
        <v>1186</v>
      </c>
      <c r="F297" s="67"/>
      <c r="G297" s="75"/>
      <c r="H297" s="58"/>
      <c r="I297" s="1" t="s">
        <v>1401</v>
      </c>
      <c r="J297" s="23"/>
      <c r="K297" s="15">
        <v>45899</v>
      </c>
      <c r="L297" s="1" t="s">
        <v>1409</v>
      </c>
      <c r="M297" s="1" t="s">
        <v>15</v>
      </c>
      <c r="N297" s="107"/>
    </row>
    <row r="298" spans="1:14" ht="18" hidden="1" customHeight="1" x14ac:dyDescent="0.2">
      <c r="A298" s="9" t="s">
        <v>1391</v>
      </c>
      <c r="B298" t="s">
        <v>1429</v>
      </c>
      <c r="C298" s="23">
        <v>65</v>
      </c>
      <c r="E298" s="11" t="s">
        <v>1186</v>
      </c>
      <c r="F298" s="67" t="s">
        <v>1403</v>
      </c>
      <c r="G298" s="75"/>
      <c r="H298" s="58"/>
      <c r="I298" s="1" t="s">
        <v>1123</v>
      </c>
      <c r="J298" s="23"/>
      <c r="K298" s="15">
        <v>45899</v>
      </c>
      <c r="L298" s="1" t="s">
        <v>1409</v>
      </c>
      <c r="M298" s="1" t="s">
        <v>15</v>
      </c>
      <c r="N298" s="107" t="str">
        <f>IF(_xlfn.NUMBERVALUE(DATEDIF(J298,K298,"Y"))-Table1[[#This Row],[Κατηγορία]]&lt;0,"* Check Age *","")</f>
        <v/>
      </c>
    </row>
    <row r="299" spans="1:14" ht="18" hidden="1" customHeight="1" x14ac:dyDescent="0.2">
      <c r="A299" s="9" t="s">
        <v>1391</v>
      </c>
      <c r="B299" t="s">
        <v>1429</v>
      </c>
      <c r="C299" s="23">
        <v>65</v>
      </c>
      <c r="E299" s="11" t="s">
        <v>1186</v>
      </c>
      <c r="F299" s="67"/>
      <c r="G299" s="75"/>
      <c r="H299" s="58"/>
      <c r="I299" s="1" t="s">
        <v>1396</v>
      </c>
      <c r="J299" s="23"/>
      <c r="K299" s="15">
        <v>45899</v>
      </c>
      <c r="L299" s="1" t="s">
        <v>1409</v>
      </c>
      <c r="M299" s="1" t="s">
        <v>15</v>
      </c>
      <c r="N299" s="107"/>
    </row>
    <row r="300" spans="1:14" ht="18" hidden="1" customHeight="1" x14ac:dyDescent="0.2">
      <c r="A300" s="9" t="s">
        <v>1391</v>
      </c>
      <c r="B300" t="s">
        <v>1429</v>
      </c>
      <c r="C300" s="23">
        <v>65</v>
      </c>
      <c r="E300" s="11" t="s">
        <v>1186</v>
      </c>
      <c r="F300" s="67"/>
      <c r="G300" s="75"/>
      <c r="H300" s="58"/>
      <c r="I300" s="1" t="s">
        <v>1402</v>
      </c>
      <c r="J300" s="23"/>
      <c r="K300" s="15">
        <v>45899</v>
      </c>
      <c r="L300" s="1" t="s">
        <v>1409</v>
      </c>
      <c r="M300" s="1" t="s">
        <v>15</v>
      </c>
      <c r="N300" s="107"/>
    </row>
    <row r="301" spans="1:14" ht="18" hidden="1" customHeight="1" x14ac:dyDescent="0.2">
      <c r="A301" s="9" t="s">
        <v>1391</v>
      </c>
      <c r="B301" t="s">
        <v>1429</v>
      </c>
      <c r="C301" s="23">
        <v>65</v>
      </c>
      <c r="E301" s="11" t="s">
        <v>1186</v>
      </c>
      <c r="F301" s="67"/>
      <c r="G301" s="75"/>
      <c r="H301" s="58"/>
      <c r="I301" s="1" t="s">
        <v>1397</v>
      </c>
      <c r="J301" s="23"/>
      <c r="K301" s="15">
        <v>45899</v>
      </c>
      <c r="L301" s="1" t="s">
        <v>1409</v>
      </c>
      <c r="M301" s="1" t="s">
        <v>15</v>
      </c>
      <c r="N301" s="107"/>
    </row>
    <row r="302" spans="1:14" ht="18" hidden="1" customHeight="1" x14ac:dyDescent="0.2">
      <c r="A302" s="9" t="s">
        <v>1155</v>
      </c>
      <c r="B302" s="9" t="s">
        <v>1430</v>
      </c>
      <c r="C302" s="12" t="s">
        <v>1256</v>
      </c>
      <c r="D302" s="9"/>
      <c r="E302" s="11" t="s">
        <v>1186</v>
      </c>
      <c r="F302" s="52" t="s">
        <v>259</v>
      </c>
      <c r="I302" t="s">
        <v>508</v>
      </c>
      <c r="J302" s="11" t="s">
        <v>502</v>
      </c>
      <c r="K302" s="10">
        <v>42917</v>
      </c>
      <c r="L302" t="s">
        <v>60</v>
      </c>
      <c r="M302" t="s">
        <v>40</v>
      </c>
      <c r="N302" s="107"/>
    </row>
    <row r="303" spans="1:14" ht="18" hidden="1" customHeight="1" x14ac:dyDescent="0.2">
      <c r="A303" s="9" t="s">
        <v>1155</v>
      </c>
      <c r="B303" s="9" t="s">
        <v>1430</v>
      </c>
      <c r="C303" s="12" t="s">
        <v>1256</v>
      </c>
      <c r="D303" s="9"/>
      <c r="E303" s="11" t="s">
        <v>1186</v>
      </c>
      <c r="I303" t="s">
        <v>260</v>
      </c>
      <c r="K303" s="10">
        <v>42917</v>
      </c>
      <c r="L303" t="s">
        <v>60</v>
      </c>
      <c r="M303" t="s">
        <v>40</v>
      </c>
      <c r="N303" s="107"/>
    </row>
    <row r="304" spans="1:14" ht="18" hidden="1" customHeight="1" x14ac:dyDescent="0.2">
      <c r="A304" s="9" t="s">
        <v>1155</v>
      </c>
      <c r="B304" s="9" t="s">
        <v>1430</v>
      </c>
      <c r="C304" s="12" t="s">
        <v>1256</v>
      </c>
      <c r="D304" s="9"/>
      <c r="E304" s="11" t="s">
        <v>1186</v>
      </c>
      <c r="I304" t="s">
        <v>509</v>
      </c>
      <c r="K304" s="10">
        <v>42917</v>
      </c>
      <c r="L304" t="s">
        <v>60</v>
      </c>
      <c r="M304" t="s">
        <v>40</v>
      </c>
      <c r="N304" s="107"/>
    </row>
    <row r="305" spans="1:14" ht="18" hidden="1" customHeight="1" x14ac:dyDescent="0.2">
      <c r="A305" s="9" t="s">
        <v>1155</v>
      </c>
      <c r="B305" s="9" t="s">
        <v>1430</v>
      </c>
      <c r="C305" s="12" t="s">
        <v>1256</v>
      </c>
      <c r="D305" s="9"/>
      <c r="E305" s="11" t="s">
        <v>1186</v>
      </c>
      <c r="I305" t="s">
        <v>261</v>
      </c>
      <c r="K305" s="10">
        <v>42917</v>
      </c>
      <c r="L305" t="s">
        <v>60</v>
      </c>
      <c r="M305" t="s">
        <v>40</v>
      </c>
      <c r="N305" s="107"/>
    </row>
    <row r="306" spans="1:14" ht="18" hidden="1" customHeight="1" x14ac:dyDescent="0.2">
      <c r="A306" s="9" t="s">
        <v>1155</v>
      </c>
      <c r="B306" s="9" t="s">
        <v>1430</v>
      </c>
      <c r="C306" s="12" t="s">
        <v>1257</v>
      </c>
      <c r="D306" s="9"/>
      <c r="E306" s="11" t="s">
        <v>1186</v>
      </c>
      <c r="F306" s="52" t="s">
        <v>262</v>
      </c>
      <c r="I306" t="s">
        <v>264</v>
      </c>
      <c r="K306" s="11">
        <v>2018</v>
      </c>
      <c r="L306" t="s">
        <v>86</v>
      </c>
      <c r="M306" t="s">
        <v>490</v>
      </c>
      <c r="N306" s="107"/>
    </row>
    <row r="307" spans="1:14" ht="18" hidden="1" customHeight="1" x14ac:dyDescent="0.2">
      <c r="A307" s="9" t="s">
        <v>1155</v>
      </c>
      <c r="B307" s="9" t="s">
        <v>1430</v>
      </c>
      <c r="C307" s="12" t="s">
        <v>1257</v>
      </c>
      <c r="D307" s="9"/>
      <c r="E307" s="11" t="s">
        <v>1186</v>
      </c>
      <c r="I307" t="s">
        <v>263</v>
      </c>
      <c r="K307" s="11">
        <v>2018</v>
      </c>
      <c r="L307" t="s">
        <v>86</v>
      </c>
      <c r="M307" t="s">
        <v>490</v>
      </c>
      <c r="N307" s="107"/>
    </row>
    <row r="308" spans="1:14" ht="18" hidden="1" customHeight="1" x14ac:dyDescent="0.2">
      <c r="A308" s="9" t="s">
        <v>1155</v>
      </c>
      <c r="B308" s="9" t="s">
        <v>1430</v>
      </c>
      <c r="C308" s="12" t="s">
        <v>1257</v>
      </c>
      <c r="D308" s="9"/>
      <c r="E308" s="11" t="s">
        <v>1186</v>
      </c>
      <c r="I308" t="s">
        <v>265</v>
      </c>
      <c r="K308" s="11">
        <v>2018</v>
      </c>
      <c r="L308" t="s">
        <v>86</v>
      </c>
      <c r="M308" t="s">
        <v>490</v>
      </c>
      <c r="N308" s="107"/>
    </row>
    <row r="309" spans="1:14" ht="18" hidden="1" customHeight="1" x14ac:dyDescent="0.2">
      <c r="A309" s="9" t="s">
        <v>1155</v>
      </c>
      <c r="B309" s="9" t="s">
        <v>1430</v>
      </c>
      <c r="C309" s="12" t="s">
        <v>1257</v>
      </c>
      <c r="D309" s="9"/>
      <c r="E309" s="11" t="s">
        <v>1186</v>
      </c>
      <c r="I309" t="s">
        <v>266</v>
      </c>
      <c r="K309" s="11">
        <v>2018</v>
      </c>
      <c r="L309" t="s">
        <v>86</v>
      </c>
      <c r="M309" t="s">
        <v>490</v>
      </c>
      <c r="N309" s="107"/>
    </row>
    <row r="310" spans="1:14" ht="18" hidden="1" customHeight="1" x14ac:dyDescent="0.2">
      <c r="A310" s="9" t="s">
        <v>1155</v>
      </c>
      <c r="B310" s="9" t="s">
        <v>1430</v>
      </c>
      <c r="C310" s="12" t="s">
        <v>1258</v>
      </c>
      <c r="D310" s="9"/>
      <c r="E310" s="11" t="s">
        <v>1186</v>
      </c>
      <c r="F310" s="52" t="s">
        <v>267</v>
      </c>
      <c r="I310" t="s">
        <v>268</v>
      </c>
      <c r="K310" s="11">
        <v>2018</v>
      </c>
      <c r="L310" t="s">
        <v>86</v>
      </c>
      <c r="M310" t="s">
        <v>490</v>
      </c>
      <c r="N310" s="107"/>
    </row>
    <row r="311" spans="1:14" ht="18" hidden="1" customHeight="1" x14ac:dyDescent="0.2">
      <c r="A311" s="9" t="s">
        <v>1155</v>
      </c>
      <c r="B311" s="9" t="s">
        <v>1430</v>
      </c>
      <c r="C311" s="12" t="s">
        <v>1258</v>
      </c>
      <c r="D311" s="9"/>
      <c r="E311" s="11" t="s">
        <v>1186</v>
      </c>
      <c r="I311" t="s">
        <v>269</v>
      </c>
      <c r="K311" s="11">
        <v>2018</v>
      </c>
      <c r="L311" t="s">
        <v>86</v>
      </c>
      <c r="M311" t="s">
        <v>490</v>
      </c>
      <c r="N311" s="107"/>
    </row>
    <row r="312" spans="1:14" ht="18" hidden="1" customHeight="1" x14ac:dyDescent="0.2">
      <c r="A312" s="9" t="s">
        <v>1155</v>
      </c>
      <c r="B312" s="9" t="s">
        <v>1430</v>
      </c>
      <c r="C312" s="12" t="s">
        <v>1258</v>
      </c>
      <c r="D312" s="9"/>
      <c r="E312" s="11" t="s">
        <v>1186</v>
      </c>
      <c r="I312" t="s">
        <v>256</v>
      </c>
      <c r="K312" s="11">
        <v>2018</v>
      </c>
      <c r="L312" t="s">
        <v>86</v>
      </c>
      <c r="M312" t="s">
        <v>490</v>
      </c>
      <c r="N312" s="107"/>
    </row>
    <row r="313" spans="1:14" ht="18" hidden="1" customHeight="1" x14ac:dyDescent="0.2">
      <c r="A313" s="9" t="s">
        <v>1155</v>
      </c>
      <c r="B313" s="9" t="s">
        <v>1430</v>
      </c>
      <c r="C313" s="12" t="s">
        <v>1258</v>
      </c>
      <c r="D313" s="9"/>
      <c r="E313" s="11" t="s">
        <v>1186</v>
      </c>
      <c r="I313" t="s">
        <v>270</v>
      </c>
      <c r="K313" s="11">
        <v>2018</v>
      </c>
      <c r="L313" t="s">
        <v>86</v>
      </c>
      <c r="M313" t="s">
        <v>490</v>
      </c>
      <c r="N313" s="107"/>
    </row>
    <row r="314" spans="1:14" ht="18" hidden="1" customHeight="1" x14ac:dyDescent="0.2">
      <c r="A314" s="9" t="s">
        <v>1155</v>
      </c>
      <c r="B314" s="9" t="s">
        <v>1430</v>
      </c>
      <c r="C314" s="12" t="s">
        <v>1259</v>
      </c>
      <c r="D314" s="9"/>
      <c r="E314" s="11" t="s">
        <v>1186</v>
      </c>
      <c r="F314" s="52" t="s">
        <v>860</v>
      </c>
      <c r="I314" t="s">
        <v>861</v>
      </c>
      <c r="K314" s="10">
        <v>44829</v>
      </c>
      <c r="L314" t="s">
        <v>95</v>
      </c>
      <c r="M314" t="s">
        <v>15</v>
      </c>
      <c r="N314" s="107" t="str">
        <f>IF(_xlfn.NUMBERVALUE(DATEDIF(J314,K314,"Y"))-Table1[[#This Row],[Κατηγορία]]&lt;0,"* Check Age *","")</f>
        <v/>
      </c>
    </row>
    <row r="315" spans="1:14" ht="18" hidden="1" customHeight="1" x14ac:dyDescent="0.2">
      <c r="A315" s="9" t="s">
        <v>1155</v>
      </c>
      <c r="B315" s="9" t="s">
        <v>1430</v>
      </c>
      <c r="C315" s="12" t="s">
        <v>1259</v>
      </c>
      <c r="D315" s="9"/>
      <c r="E315" s="11" t="s">
        <v>1186</v>
      </c>
      <c r="I315" t="s">
        <v>249</v>
      </c>
      <c r="K315" s="10">
        <v>44829</v>
      </c>
      <c r="L315" t="s">
        <v>95</v>
      </c>
      <c r="M315" t="s">
        <v>15</v>
      </c>
      <c r="N315" s="107"/>
    </row>
    <row r="316" spans="1:14" ht="18" hidden="1" customHeight="1" x14ac:dyDescent="0.2">
      <c r="A316" s="9" t="s">
        <v>1155</v>
      </c>
      <c r="B316" s="9" t="s">
        <v>1430</v>
      </c>
      <c r="C316" s="12" t="s">
        <v>1259</v>
      </c>
      <c r="D316" s="9"/>
      <c r="E316" s="11" t="s">
        <v>1186</v>
      </c>
      <c r="I316" t="s">
        <v>858</v>
      </c>
      <c r="K316" s="10">
        <v>44829</v>
      </c>
      <c r="L316" t="s">
        <v>95</v>
      </c>
      <c r="M316" t="s">
        <v>15</v>
      </c>
      <c r="N316" s="107"/>
    </row>
    <row r="317" spans="1:14" ht="18" hidden="1" customHeight="1" x14ac:dyDescent="0.2">
      <c r="A317" s="9" t="s">
        <v>1155</v>
      </c>
      <c r="B317" s="9" t="s">
        <v>1430</v>
      </c>
      <c r="C317" s="12" t="s">
        <v>1259</v>
      </c>
      <c r="D317" s="9"/>
      <c r="E317" s="11" t="s">
        <v>1186</v>
      </c>
      <c r="I317" t="s">
        <v>268</v>
      </c>
      <c r="K317" s="10">
        <v>44829</v>
      </c>
      <c r="L317" t="s">
        <v>95</v>
      </c>
      <c r="M317" t="s">
        <v>15</v>
      </c>
      <c r="N317" s="107"/>
    </row>
    <row r="318" spans="1:14" ht="18" hidden="1" customHeight="1" x14ac:dyDescent="0.2">
      <c r="A318" s="9" t="s">
        <v>1155</v>
      </c>
      <c r="B318" s="9" t="s">
        <v>1430</v>
      </c>
      <c r="C318" s="12" t="s">
        <v>1260</v>
      </c>
      <c r="D318" s="9"/>
      <c r="E318" s="11" t="s">
        <v>1186</v>
      </c>
      <c r="F318" s="52" t="s">
        <v>510</v>
      </c>
      <c r="I318" t="s">
        <v>493</v>
      </c>
      <c r="K318" s="10">
        <v>42910</v>
      </c>
      <c r="L318" t="s">
        <v>44</v>
      </c>
      <c r="M318" t="s">
        <v>490</v>
      </c>
      <c r="N318" s="107" t="str">
        <f>IF(_xlfn.NUMBERVALUE(DATEDIF(J318,K318,"Y"))-Table1[[#This Row],[Κατηγορία]]&lt;0,"* Check Age *","")</f>
        <v/>
      </c>
    </row>
    <row r="319" spans="1:14" ht="18" hidden="1" customHeight="1" x14ac:dyDescent="0.2">
      <c r="A319" s="9" t="s">
        <v>1155</v>
      </c>
      <c r="B319" s="9" t="s">
        <v>1430</v>
      </c>
      <c r="C319" s="12" t="s">
        <v>1260</v>
      </c>
      <c r="D319" s="9"/>
      <c r="E319" s="11" t="s">
        <v>1186</v>
      </c>
      <c r="I319" t="s">
        <v>723</v>
      </c>
      <c r="K319" s="10">
        <v>42910</v>
      </c>
      <c r="L319" t="s">
        <v>44</v>
      </c>
      <c r="M319" t="s">
        <v>490</v>
      </c>
      <c r="N319" s="107"/>
    </row>
    <row r="320" spans="1:14" ht="18" hidden="1" customHeight="1" x14ac:dyDescent="0.2">
      <c r="A320" s="9" t="s">
        <v>1155</v>
      </c>
      <c r="B320" s="9" t="s">
        <v>1430</v>
      </c>
      <c r="C320" s="12" t="s">
        <v>1260</v>
      </c>
      <c r="D320" s="9"/>
      <c r="E320" s="11" t="s">
        <v>1186</v>
      </c>
      <c r="I320" t="s">
        <v>512</v>
      </c>
      <c r="K320" s="10">
        <v>42910</v>
      </c>
      <c r="L320" t="s">
        <v>44</v>
      </c>
      <c r="M320" t="s">
        <v>490</v>
      </c>
      <c r="N320" s="107"/>
    </row>
    <row r="321" spans="1:14" ht="18" hidden="1" customHeight="1" x14ac:dyDescent="0.2">
      <c r="A321" s="9" t="s">
        <v>1155</v>
      </c>
      <c r="B321" s="9" t="s">
        <v>1430</v>
      </c>
      <c r="C321" s="12" t="s">
        <v>1260</v>
      </c>
      <c r="D321" s="9"/>
      <c r="E321" s="11" t="s">
        <v>1186</v>
      </c>
      <c r="I321" t="s">
        <v>511</v>
      </c>
      <c r="K321" s="10">
        <v>42910</v>
      </c>
      <c r="L321" t="s">
        <v>44</v>
      </c>
      <c r="M321" t="s">
        <v>490</v>
      </c>
      <c r="N321" s="107"/>
    </row>
    <row r="322" spans="1:14" ht="18" hidden="1" customHeight="1" x14ac:dyDescent="0.2">
      <c r="A322" s="9" t="s">
        <v>1155</v>
      </c>
      <c r="B322" s="9" t="s">
        <v>1430</v>
      </c>
      <c r="C322" s="12" t="s">
        <v>1261</v>
      </c>
      <c r="D322" s="9"/>
      <c r="E322" s="11" t="s">
        <v>1186</v>
      </c>
      <c r="F322" s="52" t="s">
        <v>513</v>
      </c>
      <c r="I322" t="s">
        <v>514</v>
      </c>
      <c r="K322" s="10">
        <v>43121</v>
      </c>
      <c r="L322" t="s">
        <v>44</v>
      </c>
      <c r="M322" t="s">
        <v>490</v>
      </c>
      <c r="N322" s="107" t="str">
        <f>IF(_xlfn.NUMBERVALUE(DATEDIF(J322,K322,"Y"))-Table1[[#This Row],[Κατηγορία]]&lt;0,"* Check Age *","")</f>
        <v/>
      </c>
    </row>
    <row r="323" spans="1:14" ht="18" hidden="1" customHeight="1" x14ac:dyDescent="0.2">
      <c r="A323" s="9" t="s">
        <v>1155</v>
      </c>
      <c r="B323" s="9" t="s">
        <v>1430</v>
      </c>
      <c r="C323" s="12" t="s">
        <v>1261</v>
      </c>
      <c r="D323" s="9"/>
      <c r="E323" s="11" t="s">
        <v>1186</v>
      </c>
      <c r="I323" t="s">
        <v>723</v>
      </c>
      <c r="K323" s="10">
        <v>43121</v>
      </c>
      <c r="L323" t="s">
        <v>44</v>
      </c>
      <c r="M323" t="s">
        <v>490</v>
      </c>
      <c r="N323" s="107"/>
    </row>
    <row r="324" spans="1:14" ht="18" hidden="1" customHeight="1" x14ac:dyDescent="0.2">
      <c r="A324" s="9" t="s">
        <v>1155</v>
      </c>
      <c r="B324" s="9" t="s">
        <v>1430</v>
      </c>
      <c r="C324" s="12" t="s">
        <v>1261</v>
      </c>
      <c r="D324" s="9"/>
      <c r="E324" s="11" t="s">
        <v>1186</v>
      </c>
      <c r="I324" t="s">
        <v>724</v>
      </c>
      <c r="K324" s="10">
        <v>43121</v>
      </c>
      <c r="L324" t="s">
        <v>44</v>
      </c>
      <c r="M324" t="s">
        <v>490</v>
      </c>
      <c r="N324" s="107"/>
    </row>
    <row r="325" spans="1:14" ht="18" hidden="1" customHeight="1" x14ac:dyDescent="0.2">
      <c r="A325" s="9" t="s">
        <v>1155</v>
      </c>
      <c r="B325" s="9" t="s">
        <v>1430</v>
      </c>
      <c r="C325" s="12" t="s">
        <v>1261</v>
      </c>
      <c r="D325" s="9"/>
      <c r="E325" s="11" t="s">
        <v>1186</v>
      </c>
      <c r="I325" t="s">
        <v>511</v>
      </c>
      <c r="K325" s="10">
        <v>43121</v>
      </c>
      <c r="L325" t="s">
        <v>44</v>
      </c>
      <c r="M325" t="s">
        <v>490</v>
      </c>
      <c r="N325" s="107"/>
    </row>
    <row r="326" spans="1:14" ht="18" hidden="1" customHeight="1" x14ac:dyDescent="0.2">
      <c r="A326" s="9" t="s">
        <v>1155</v>
      </c>
      <c r="B326" s="9" t="s">
        <v>1430</v>
      </c>
      <c r="C326" s="12" t="s">
        <v>1262</v>
      </c>
      <c r="D326" s="9"/>
      <c r="E326" s="11" t="s">
        <v>1186</v>
      </c>
      <c r="F326" s="52" t="s">
        <v>972</v>
      </c>
      <c r="I326" t="s">
        <v>499</v>
      </c>
      <c r="K326" s="10">
        <v>45171</v>
      </c>
      <c r="L326" t="s">
        <v>57</v>
      </c>
      <c r="M326" t="s">
        <v>15</v>
      </c>
      <c r="N326" s="107" t="str">
        <f>IF(_xlfn.NUMBERVALUE(DATEDIF(J326,K326,"Y"))-Table1[[#This Row],[Κατηγορία]]&lt;0,"* Check Age *","")</f>
        <v/>
      </c>
    </row>
    <row r="327" spans="1:14" ht="18" hidden="1" customHeight="1" x14ac:dyDescent="0.2">
      <c r="A327" s="9" t="s">
        <v>1155</v>
      </c>
      <c r="B327" s="9" t="s">
        <v>1430</v>
      </c>
      <c r="C327" s="12" t="s">
        <v>1262</v>
      </c>
      <c r="D327" s="9"/>
      <c r="E327" s="11" t="s">
        <v>1186</v>
      </c>
      <c r="I327" t="s">
        <v>501</v>
      </c>
      <c r="K327" s="10">
        <v>45171</v>
      </c>
      <c r="L327" t="s">
        <v>57</v>
      </c>
      <c r="M327" t="s">
        <v>15</v>
      </c>
      <c r="N327" s="107"/>
    </row>
    <row r="328" spans="1:14" ht="18" hidden="1" customHeight="1" x14ac:dyDescent="0.2">
      <c r="A328" s="9" t="s">
        <v>1155</v>
      </c>
      <c r="B328" s="9" t="s">
        <v>1430</v>
      </c>
      <c r="C328" s="12" t="s">
        <v>1262</v>
      </c>
      <c r="D328" s="9"/>
      <c r="E328" s="11" t="s">
        <v>1186</v>
      </c>
      <c r="I328" t="s">
        <v>497</v>
      </c>
      <c r="K328" s="10">
        <v>45171</v>
      </c>
      <c r="L328" t="s">
        <v>57</v>
      </c>
      <c r="M328" t="s">
        <v>15</v>
      </c>
      <c r="N328" s="107"/>
    </row>
    <row r="329" spans="1:14" ht="18" hidden="1" customHeight="1" x14ac:dyDescent="0.2">
      <c r="A329" s="9" t="s">
        <v>1155</v>
      </c>
      <c r="B329" s="9" t="s">
        <v>1430</v>
      </c>
      <c r="C329" s="12" t="s">
        <v>1262</v>
      </c>
      <c r="D329" s="9"/>
      <c r="E329" s="11" t="s">
        <v>1186</v>
      </c>
      <c r="I329" t="s">
        <v>904</v>
      </c>
      <c r="K329" s="10">
        <v>45171</v>
      </c>
      <c r="L329" t="s">
        <v>57</v>
      </c>
      <c r="M329" t="s">
        <v>15</v>
      </c>
      <c r="N329" s="107"/>
    </row>
    <row r="330" spans="1:14" ht="18" hidden="1" customHeight="1" x14ac:dyDescent="0.2">
      <c r="A330" s="9" t="s">
        <v>1155</v>
      </c>
      <c r="B330" s="9" t="s">
        <v>1430</v>
      </c>
      <c r="C330" s="12" t="s">
        <v>1263</v>
      </c>
      <c r="D330" s="9"/>
      <c r="E330" s="11" t="s">
        <v>1186</v>
      </c>
      <c r="F330" s="52" t="s">
        <v>515</v>
      </c>
      <c r="I330" t="s">
        <v>516</v>
      </c>
      <c r="K330" s="10">
        <v>43121</v>
      </c>
      <c r="L330" t="s">
        <v>44</v>
      </c>
      <c r="M330" t="s">
        <v>490</v>
      </c>
      <c r="N330" s="107" t="str">
        <f>IF(_xlfn.NUMBERVALUE(DATEDIF(J330,K330,"Y"))-Table1[[#This Row],[Κατηγορία]]&lt;0,"* Check Age *","")</f>
        <v/>
      </c>
    </row>
    <row r="331" spans="1:14" ht="18" hidden="1" customHeight="1" x14ac:dyDescent="0.2">
      <c r="A331" s="9" t="s">
        <v>1155</v>
      </c>
      <c r="B331" s="9" t="s">
        <v>1430</v>
      </c>
      <c r="C331" s="12" t="s">
        <v>1263</v>
      </c>
      <c r="D331" s="9"/>
      <c r="E331" s="11" t="s">
        <v>1186</v>
      </c>
      <c r="I331" t="s">
        <v>517</v>
      </c>
      <c r="K331" s="10">
        <v>43121</v>
      </c>
      <c r="L331" t="s">
        <v>44</v>
      </c>
      <c r="M331" t="s">
        <v>490</v>
      </c>
      <c r="N331" s="107"/>
    </row>
    <row r="332" spans="1:14" ht="18" hidden="1" customHeight="1" x14ac:dyDescent="0.2">
      <c r="A332" s="9" t="s">
        <v>1155</v>
      </c>
      <c r="B332" s="9" t="s">
        <v>1430</v>
      </c>
      <c r="C332" s="12" t="s">
        <v>1263</v>
      </c>
      <c r="D332" s="9"/>
      <c r="E332" s="11" t="s">
        <v>1186</v>
      </c>
      <c r="I332" t="s">
        <v>722</v>
      </c>
      <c r="K332" s="10">
        <v>43121</v>
      </c>
      <c r="L332" t="s">
        <v>44</v>
      </c>
      <c r="M332" t="s">
        <v>490</v>
      </c>
      <c r="N332" s="107"/>
    </row>
    <row r="333" spans="1:14" ht="18" hidden="1" customHeight="1" x14ac:dyDescent="0.2">
      <c r="A333" s="9" t="s">
        <v>1155</v>
      </c>
      <c r="B333" s="9" t="s">
        <v>1430</v>
      </c>
      <c r="C333" s="12" t="s">
        <v>1263</v>
      </c>
      <c r="D333" s="9"/>
      <c r="E333" s="11" t="s">
        <v>1186</v>
      </c>
      <c r="I333" t="s">
        <v>518</v>
      </c>
      <c r="K333" s="10">
        <v>43121</v>
      </c>
      <c r="L333" t="s">
        <v>44</v>
      </c>
      <c r="M333" t="s">
        <v>490</v>
      </c>
      <c r="N333" s="107"/>
    </row>
    <row r="334" spans="1:14" ht="18" hidden="1" customHeight="1" x14ac:dyDescent="0.2">
      <c r="A334" s="9" t="s">
        <v>1202</v>
      </c>
      <c r="B334" t="s">
        <v>1430</v>
      </c>
      <c r="C334" s="23" t="s">
        <v>1256</v>
      </c>
      <c r="E334" s="11" t="s">
        <v>1186</v>
      </c>
      <c r="F334" s="57" t="s">
        <v>648</v>
      </c>
      <c r="G334" s="1"/>
      <c r="H334" s="58"/>
      <c r="I334" s="1" t="s">
        <v>649</v>
      </c>
      <c r="J334" s="23"/>
      <c r="K334" s="15">
        <v>43632</v>
      </c>
      <c r="L334" s="1" t="s">
        <v>122</v>
      </c>
      <c r="M334" s="1" t="s">
        <v>343</v>
      </c>
      <c r="N334" s="107" t="str">
        <f>IF(_xlfn.NUMBERVALUE(DATEDIF(J334,K334,"Y"))-Table1[[#This Row],[Κατηγορία]]&lt;0,"* Check Age *","")</f>
        <v/>
      </c>
    </row>
    <row r="335" spans="1:14" ht="18" hidden="1" customHeight="1" x14ac:dyDescent="0.2">
      <c r="A335" s="9" t="s">
        <v>1202</v>
      </c>
      <c r="B335" t="s">
        <v>1430</v>
      </c>
      <c r="C335" s="23" t="s">
        <v>1257</v>
      </c>
      <c r="E335" s="11" t="s">
        <v>1186</v>
      </c>
      <c r="F335" s="57" t="s">
        <v>917</v>
      </c>
      <c r="G335" s="1"/>
      <c r="H335" s="58"/>
      <c r="I335" s="1" t="s">
        <v>919</v>
      </c>
      <c r="J335" s="23"/>
      <c r="K335" s="15">
        <v>44828</v>
      </c>
      <c r="L335" s="1" t="s">
        <v>95</v>
      </c>
      <c r="M335" s="1" t="s">
        <v>15</v>
      </c>
      <c r="N335" s="107" t="str">
        <f>IF(_xlfn.NUMBERVALUE(DATEDIF(J335,K335,"Y"))-Table1[[#This Row],[Κατηγορία]]&lt;0,"* Check Age *","")</f>
        <v/>
      </c>
    </row>
    <row r="336" spans="1:14" ht="18" hidden="1" customHeight="1" x14ac:dyDescent="0.2">
      <c r="A336" s="9" t="s">
        <v>1202</v>
      </c>
      <c r="B336" t="s">
        <v>1430</v>
      </c>
      <c r="C336" s="23" t="s">
        <v>1257</v>
      </c>
      <c r="E336" s="11" t="s">
        <v>1186</v>
      </c>
      <c r="F336" s="57"/>
      <c r="G336" s="1"/>
      <c r="H336" s="58"/>
      <c r="I336" s="1" t="s">
        <v>918</v>
      </c>
      <c r="J336" s="23"/>
      <c r="K336" s="15">
        <v>44828</v>
      </c>
      <c r="L336" s="1" t="s">
        <v>95</v>
      </c>
      <c r="M336" s="1" t="s">
        <v>15</v>
      </c>
      <c r="N336" s="107"/>
    </row>
    <row r="337" spans="1:14" ht="18" hidden="1" customHeight="1" x14ac:dyDescent="0.2">
      <c r="A337" s="9" t="s">
        <v>1202</v>
      </c>
      <c r="B337" t="s">
        <v>1430</v>
      </c>
      <c r="C337" s="23" t="s">
        <v>1257</v>
      </c>
      <c r="E337" s="11" t="s">
        <v>1186</v>
      </c>
      <c r="F337" s="57"/>
      <c r="G337" s="1"/>
      <c r="H337" s="58"/>
      <c r="I337" s="1"/>
      <c r="J337" s="23"/>
      <c r="K337" s="15">
        <v>44828</v>
      </c>
      <c r="L337" s="1" t="s">
        <v>95</v>
      </c>
      <c r="M337" s="1" t="s">
        <v>15</v>
      </c>
      <c r="N337" s="107"/>
    </row>
    <row r="338" spans="1:14" ht="18" hidden="1" customHeight="1" x14ac:dyDescent="0.2">
      <c r="A338" s="9" t="s">
        <v>1202</v>
      </c>
      <c r="B338" t="s">
        <v>1430</v>
      </c>
      <c r="C338" s="23" t="s">
        <v>1257</v>
      </c>
      <c r="E338" s="11" t="s">
        <v>1186</v>
      </c>
      <c r="F338" s="57"/>
      <c r="G338" s="1"/>
      <c r="H338" s="58"/>
      <c r="I338" s="1"/>
      <c r="J338" s="23"/>
      <c r="K338" s="15">
        <v>44828</v>
      </c>
      <c r="L338" s="1" t="s">
        <v>95</v>
      </c>
      <c r="M338" s="1" t="s">
        <v>15</v>
      </c>
      <c r="N338" s="107"/>
    </row>
    <row r="339" spans="1:14" ht="18" hidden="1" customHeight="1" x14ac:dyDescent="0.2">
      <c r="A339" s="9" t="s">
        <v>1202</v>
      </c>
      <c r="B339" t="s">
        <v>1430</v>
      </c>
      <c r="C339" s="23" t="s">
        <v>1259</v>
      </c>
      <c r="E339" s="11" t="s">
        <v>1186</v>
      </c>
      <c r="F339" s="57" t="s">
        <v>650</v>
      </c>
      <c r="G339" s="1"/>
      <c r="H339" s="58"/>
      <c r="I339" s="1" t="s">
        <v>651</v>
      </c>
      <c r="J339" s="23"/>
      <c r="K339" s="15">
        <v>43728</v>
      </c>
      <c r="L339" s="1" t="s">
        <v>35</v>
      </c>
      <c r="M339" s="1" t="s">
        <v>15</v>
      </c>
      <c r="N339" s="107" t="str">
        <f>IF(_xlfn.NUMBERVALUE(DATEDIF(J339,K339,"Y"))-Table1[[#This Row],[Κατηγορία]]&lt;0,"* Check Age *","")</f>
        <v/>
      </c>
    </row>
    <row r="340" spans="1:14" ht="18" hidden="1" customHeight="1" x14ac:dyDescent="0.2">
      <c r="A340" s="9" t="s">
        <v>1202</v>
      </c>
      <c r="B340" t="s">
        <v>1430</v>
      </c>
      <c r="C340" s="23" t="s">
        <v>1259</v>
      </c>
      <c r="E340" s="11" t="s">
        <v>1186</v>
      </c>
      <c r="F340" s="57"/>
      <c r="G340" s="1"/>
      <c r="H340" s="58"/>
      <c r="I340" s="1" t="s">
        <v>652</v>
      </c>
      <c r="J340" s="23"/>
      <c r="K340" s="15">
        <v>43728</v>
      </c>
      <c r="L340" s="1" t="s">
        <v>35</v>
      </c>
      <c r="M340" s="1" t="s">
        <v>15</v>
      </c>
      <c r="N340" s="107"/>
    </row>
    <row r="341" spans="1:14" ht="18" hidden="1" customHeight="1" x14ac:dyDescent="0.2">
      <c r="A341" s="9" t="s">
        <v>1202</v>
      </c>
      <c r="B341" t="s">
        <v>1430</v>
      </c>
      <c r="C341" s="23" t="s">
        <v>1259</v>
      </c>
      <c r="E341" s="11" t="s">
        <v>1186</v>
      </c>
      <c r="F341" s="57"/>
      <c r="G341" s="1"/>
      <c r="H341" s="58"/>
      <c r="I341" s="1" t="s">
        <v>901</v>
      </c>
      <c r="J341" s="23"/>
      <c r="K341" s="15">
        <v>43728</v>
      </c>
      <c r="L341" s="1" t="s">
        <v>35</v>
      </c>
      <c r="M341" s="1" t="s">
        <v>15</v>
      </c>
      <c r="N341" s="107"/>
    </row>
    <row r="342" spans="1:14" ht="18" hidden="1" customHeight="1" x14ac:dyDescent="0.2">
      <c r="A342" s="9" t="s">
        <v>1202</v>
      </c>
      <c r="B342" t="s">
        <v>1430</v>
      </c>
      <c r="C342" s="23" t="s">
        <v>1259</v>
      </c>
      <c r="E342" s="11" t="s">
        <v>1186</v>
      </c>
      <c r="F342" s="57"/>
      <c r="G342" s="1"/>
      <c r="H342" s="58"/>
      <c r="I342" s="1" t="s">
        <v>902</v>
      </c>
      <c r="J342" s="23"/>
      <c r="K342" s="15">
        <v>43728</v>
      </c>
      <c r="L342" s="1" t="s">
        <v>35</v>
      </c>
      <c r="M342" s="1" t="s">
        <v>15</v>
      </c>
      <c r="N342" s="107"/>
    </row>
    <row r="343" spans="1:14" ht="18" hidden="1" customHeight="1" x14ac:dyDescent="0.2">
      <c r="A343" s="9" t="s">
        <v>1202</v>
      </c>
      <c r="B343" t="s">
        <v>1430</v>
      </c>
      <c r="C343" s="23" t="s">
        <v>1260</v>
      </c>
      <c r="E343" s="11" t="s">
        <v>1186</v>
      </c>
      <c r="F343" s="57" t="s">
        <v>916</v>
      </c>
      <c r="G343" s="1"/>
      <c r="H343" s="58"/>
      <c r="I343" s="1" t="s">
        <v>914</v>
      </c>
      <c r="J343" s="23"/>
      <c r="K343" s="15">
        <v>44828</v>
      </c>
      <c r="L343" s="1" t="s">
        <v>95</v>
      </c>
      <c r="M343" s="1" t="s">
        <v>15</v>
      </c>
      <c r="N343" s="107" t="str">
        <f>IF(_xlfn.NUMBERVALUE(DATEDIF(J343,K343,"Y"))-Table1[[#This Row],[Κατηγορία]]&lt;0,"* Check Age *","")</f>
        <v/>
      </c>
    </row>
    <row r="344" spans="1:14" ht="18" hidden="1" customHeight="1" x14ac:dyDescent="0.2">
      <c r="A344" s="9" t="s">
        <v>1202</v>
      </c>
      <c r="B344" t="s">
        <v>1430</v>
      </c>
      <c r="C344" s="23" t="s">
        <v>1260</v>
      </c>
      <c r="E344" s="11" t="s">
        <v>1186</v>
      </c>
      <c r="F344" s="57"/>
      <c r="G344" s="1"/>
      <c r="H344" s="58"/>
      <c r="I344" s="1" t="s">
        <v>912</v>
      </c>
      <c r="J344" s="23"/>
      <c r="K344" s="15">
        <v>44828</v>
      </c>
      <c r="L344" s="1" t="s">
        <v>95</v>
      </c>
      <c r="M344" s="1" t="s">
        <v>15</v>
      </c>
      <c r="N344" s="107"/>
    </row>
    <row r="345" spans="1:14" ht="18" hidden="1" customHeight="1" x14ac:dyDescent="0.2">
      <c r="A345" s="9" t="s">
        <v>1202</v>
      </c>
      <c r="B345" t="s">
        <v>1430</v>
      </c>
      <c r="C345" s="23" t="s">
        <v>1260</v>
      </c>
      <c r="E345" s="11" t="s">
        <v>1186</v>
      </c>
      <c r="F345" s="57"/>
      <c r="G345" s="1"/>
      <c r="H345" s="58"/>
      <c r="I345" s="1" t="s">
        <v>901</v>
      </c>
      <c r="J345" s="23"/>
      <c r="K345" s="15">
        <v>44828</v>
      </c>
      <c r="L345" s="1" t="s">
        <v>95</v>
      </c>
      <c r="M345" s="1" t="s">
        <v>15</v>
      </c>
      <c r="N345" s="107"/>
    </row>
    <row r="346" spans="1:14" ht="18" hidden="1" customHeight="1" x14ac:dyDescent="0.2">
      <c r="A346" s="9" t="s">
        <v>1202</v>
      </c>
      <c r="B346" t="s">
        <v>1430</v>
      </c>
      <c r="C346" s="23" t="s">
        <v>1260</v>
      </c>
      <c r="E346" s="11" t="s">
        <v>1186</v>
      </c>
      <c r="F346" s="57"/>
      <c r="G346" s="1"/>
      <c r="H346" s="58"/>
      <c r="I346" s="1" t="s">
        <v>913</v>
      </c>
      <c r="J346" s="23"/>
      <c r="K346" s="15">
        <v>44828</v>
      </c>
      <c r="L346" s="1" t="s">
        <v>95</v>
      </c>
      <c r="M346" s="1" t="s">
        <v>15</v>
      </c>
      <c r="N346" s="107"/>
    </row>
    <row r="347" spans="1:14" ht="18" hidden="1" customHeight="1" x14ac:dyDescent="0.2">
      <c r="A347" s="9" t="s">
        <v>1155</v>
      </c>
      <c r="B347" s="9" t="s">
        <v>1162</v>
      </c>
      <c r="C347" s="12" t="s">
        <v>1256</v>
      </c>
      <c r="D347" s="9"/>
      <c r="E347" s="11" t="s">
        <v>1186</v>
      </c>
      <c r="F347" s="52" t="s">
        <v>153</v>
      </c>
      <c r="I347" t="s">
        <v>142</v>
      </c>
      <c r="J347" s="10">
        <v>22859</v>
      </c>
      <c r="K347" s="10">
        <v>35994</v>
      </c>
      <c r="L347" t="s">
        <v>154</v>
      </c>
      <c r="M347" t="s">
        <v>155</v>
      </c>
      <c r="N347" s="107" t="str">
        <f>IF(_xlfn.NUMBERVALUE(DATEDIF(J347,K347,"Y"))-Table1[[#This Row],[Κατηγορία]]&lt;0,"* Check Age *","")</f>
        <v/>
      </c>
    </row>
    <row r="348" spans="1:14" ht="18" hidden="1" customHeight="1" x14ac:dyDescent="0.2">
      <c r="A348" s="9" t="s">
        <v>1155</v>
      </c>
      <c r="B348" s="9" t="s">
        <v>1162</v>
      </c>
      <c r="C348" s="12" t="s">
        <v>1257</v>
      </c>
      <c r="D348" s="9"/>
      <c r="E348" s="11" t="s">
        <v>1186</v>
      </c>
      <c r="F348" s="52" t="s">
        <v>156</v>
      </c>
      <c r="I348" t="s">
        <v>144</v>
      </c>
      <c r="J348" s="11">
        <v>1969</v>
      </c>
      <c r="K348" s="11">
        <v>2009</v>
      </c>
      <c r="L348" t="s">
        <v>95</v>
      </c>
      <c r="N348" s="107"/>
    </row>
    <row r="349" spans="1:14" ht="18" hidden="1" customHeight="1" x14ac:dyDescent="0.2">
      <c r="A349" s="9" t="s">
        <v>1155</v>
      </c>
      <c r="B349" s="9" t="s">
        <v>1162</v>
      </c>
      <c r="C349" s="12" t="s">
        <v>1258</v>
      </c>
      <c r="D349" s="9"/>
      <c r="E349" s="11" t="s">
        <v>1186</v>
      </c>
      <c r="F349" s="55" t="s">
        <v>157</v>
      </c>
      <c r="G349" s="56"/>
      <c r="H349" s="91"/>
      <c r="I349" t="s">
        <v>144</v>
      </c>
      <c r="J349" s="11">
        <v>1969</v>
      </c>
      <c r="K349" s="11">
        <v>2014</v>
      </c>
      <c r="L349" t="s">
        <v>60</v>
      </c>
      <c r="M349" t="s">
        <v>40</v>
      </c>
      <c r="N349" s="107"/>
    </row>
    <row r="350" spans="1:14" ht="18" hidden="1" customHeight="1" x14ac:dyDescent="0.2">
      <c r="A350" s="9" t="s">
        <v>1155</v>
      </c>
      <c r="B350" s="9" t="s">
        <v>1162</v>
      </c>
      <c r="C350" s="12" t="s">
        <v>1259</v>
      </c>
      <c r="D350" s="9"/>
      <c r="E350" s="11" t="s">
        <v>1186</v>
      </c>
      <c r="F350" s="52" t="s">
        <v>1152</v>
      </c>
      <c r="I350" t="s">
        <v>129</v>
      </c>
      <c r="J350" s="10">
        <v>27181</v>
      </c>
      <c r="K350" s="10">
        <v>45738</v>
      </c>
      <c r="L350" t="s">
        <v>1153</v>
      </c>
      <c r="M350" t="s">
        <v>1154</v>
      </c>
      <c r="N350" s="12">
        <f>DATEDIF(J350,K350,"Y")</f>
        <v>50</v>
      </c>
    </row>
    <row r="351" spans="1:14" ht="18" hidden="1" customHeight="1" x14ac:dyDescent="0.2">
      <c r="A351" s="9" t="s">
        <v>1155</v>
      </c>
      <c r="B351" s="9" t="s">
        <v>1162</v>
      </c>
      <c r="C351" s="12" t="s">
        <v>1260</v>
      </c>
      <c r="D351" s="9"/>
      <c r="E351" s="11" t="s">
        <v>1186</v>
      </c>
      <c r="F351" s="52" t="s">
        <v>161</v>
      </c>
      <c r="I351" t="s">
        <v>162</v>
      </c>
      <c r="J351" s="10">
        <v>20038</v>
      </c>
      <c r="K351" s="11">
        <v>2009</v>
      </c>
      <c r="L351" t="s">
        <v>163</v>
      </c>
      <c r="M351" t="s">
        <v>40</v>
      </c>
      <c r="N351" s="107"/>
    </row>
    <row r="352" spans="1:14" ht="18" hidden="1" customHeight="1" x14ac:dyDescent="0.2">
      <c r="A352" s="9" t="s">
        <v>1155</v>
      </c>
      <c r="B352" s="9" t="s">
        <v>1162</v>
      </c>
      <c r="C352" s="12" t="s">
        <v>1261</v>
      </c>
      <c r="D352" s="9"/>
      <c r="E352" s="11" t="s">
        <v>1186</v>
      </c>
      <c r="F352" s="52" t="s">
        <v>164</v>
      </c>
      <c r="I352" t="s">
        <v>165</v>
      </c>
      <c r="J352" s="10">
        <v>20696</v>
      </c>
      <c r="K352" s="10">
        <v>42636</v>
      </c>
      <c r="L352" t="s">
        <v>113</v>
      </c>
      <c r="M352" t="s">
        <v>15</v>
      </c>
      <c r="N352" s="107"/>
    </row>
    <row r="353" spans="1:15" ht="18" hidden="1" customHeight="1" x14ac:dyDescent="0.2">
      <c r="A353" s="9" t="s">
        <v>1155</v>
      </c>
      <c r="B353" s="9" t="s">
        <v>1162</v>
      </c>
      <c r="C353" s="12" t="s">
        <v>1262</v>
      </c>
      <c r="D353" s="9"/>
      <c r="E353" s="11" t="s">
        <v>1186</v>
      </c>
      <c r="F353" s="52" t="s">
        <v>167</v>
      </c>
      <c r="I353" t="s">
        <v>140</v>
      </c>
      <c r="J353" s="10">
        <v>11632</v>
      </c>
      <c r="K353" s="11">
        <v>1996</v>
      </c>
      <c r="L353" t="s">
        <v>130</v>
      </c>
      <c r="M353" t="s">
        <v>40</v>
      </c>
      <c r="N353" s="107"/>
    </row>
    <row r="354" spans="1:15" ht="18" hidden="1" customHeight="1" x14ac:dyDescent="0.2">
      <c r="A354" s="9" t="s">
        <v>1155</v>
      </c>
      <c r="B354" s="9" t="s">
        <v>1162</v>
      </c>
      <c r="C354" s="12" t="s">
        <v>1263</v>
      </c>
      <c r="D354" s="9"/>
      <c r="E354" s="11" t="s">
        <v>1186</v>
      </c>
      <c r="F354" s="52" t="s">
        <v>1272</v>
      </c>
      <c r="I354" t="s">
        <v>162</v>
      </c>
      <c r="J354" s="10">
        <v>20038</v>
      </c>
      <c r="K354" s="10">
        <v>45809</v>
      </c>
      <c r="L354" t="s">
        <v>106</v>
      </c>
      <c r="M354" t="s">
        <v>1271</v>
      </c>
      <c r="N354" s="107" t="str">
        <f>IF(_xlfn.NUMBERVALUE(DATEDIF(J354,K354,"Y"))-Table1[[#This Row],[Κατηγορία]]&lt;0,"* Check Age *","")</f>
        <v/>
      </c>
    </row>
    <row r="355" spans="1:15" ht="18" hidden="1" customHeight="1" x14ac:dyDescent="0.2">
      <c r="A355" s="99" t="s">
        <v>1155</v>
      </c>
      <c r="B355" s="99" t="s">
        <v>1162</v>
      </c>
      <c r="C355" s="100" t="s">
        <v>1264</v>
      </c>
      <c r="D355" s="99"/>
      <c r="E355" s="101" t="s">
        <v>1186</v>
      </c>
      <c r="F355" s="102" t="s">
        <v>166</v>
      </c>
      <c r="G355" s="99"/>
      <c r="H355" s="101"/>
      <c r="I355" s="99" t="s">
        <v>124</v>
      </c>
      <c r="J355" s="103">
        <v>5706</v>
      </c>
      <c r="K355" s="101">
        <v>1993</v>
      </c>
      <c r="L355" s="99" t="s">
        <v>44</v>
      </c>
      <c r="M355" s="99"/>
      <c r="N355" s="106"/>
      <c r="O355" t="s">
        <v>1426</v>
      </c>
    </row>
    <row r="356" spans="1:15" ht="18" hidden="1" customHeight="1" x14ac:dyDescent="0.2">
      <c r="A356" s="99" t="s">
        <v>1155</v>
      </c>
      <c r="B356" s="99" t="s">
        <v>1162</v>
      </c>
      <c r="C356" s="100" t="s">
        <v>1264</v>
      </c>
      <c r="D356" s="99"/>
      <c r="E356" s="101" t="s">
        <v>1187</v>
      </c>
      <c r="F356" s="102" t="s">
        <v>870</v>
      </c>
      <c r="G356" s="99"/>
      <c r="H356" s="101"/>
      <c r="I356" s="99" t="s">
        <v>124</v>
      </c>
      <c r="J356" s="103">
        <v>5706</v>
      </c>
      <c r="K356" s="103">
        <v>33441</v>
      </c>
      <c r="L356" s="99" t="s">
        <v>168</v>
      </c>
      <c r="M356" s="99" t="s">
        <v>85</v>
      </c>
      <c r="N356" s="106" t="str">
        <f>IF(_xlfn.NUMBERVALUE(DATEDIF(J356,K356,"Y"))-Table1[[#This Row],[Κατηγορία]]&lt;0,"* Check Age *","")</f>
        <v/>
      </c>
      <c r="O356" t="s">
        <v>1426</v>
      </c>
    </row>
    <row r="357" spans="1:15" ht="18" hidden="1" customHeight="1" x14ac:dyDescent="0.2">
      <c r="A357" s="16" t="s">
        <v>1155</v>
      </c>
      <c r="B357" s="16" t="s">
        <v>1162</v>
      </c>
      <c r="C357" s="104" t="s">
        <v>1265</v>
      </c>
      <c r="D357" s="16"/>
      <c r="E357" s="18" t="s">
        <v>1186</v>
      </c>
      <c r="F357" s="105" t="s">
        <v>169</v>
      </c>
      <c r="G357" s="17"/>
      <c r="H357" s="18"/>
      <c r="I357" s="17" t="s">
        <v>124</v>
      </c>
      <c r="J357" s="21">
        <v>5706</v>
      </c>
      <c r="K357" s="21">
        <v>34875</v>
      </c>
      <c r="L357" s="17" t="s">
        <v>44</v>
      </c>
      <c r="M357" s="17" t="s">
        <v>40</v>
      </c>
      <c r="N357" s="106" t="str">
        <f>IF(_xlfn.NUMBERVALUE(DATEDIF(J357,K357,"Y"))-Table1[[#This Row],[Κατηγορία]]&lt;0,CONCATENATE("* Check Age = ",TEXT(DATEDIF(J357,K357,"Y"),"00"),"*"),"")</f>
        <v>* Check Age = 79*</v>
      </c>
      <c r="O357" t="s">
        <v>1427</v>
      </c>
    </row>
    <row r="358" spans="1:15" ht="18" hidden="1" customHeight="1" x14ac:dyDescent="0.2">
      <c r="A358" s="9" t="s">
        <v>1155</v>
      </c>
      <c r="B358" s="9" t="s">
        <v>1162</v>
      </c>
      <c r="C358" s="12" t="s">
        <v>1266</v>
      </c>
      <c r="D358" s="9"/>
      <c r="E358" s="11" t="s">
        <v>1186</v>
      </c>
      <c r="F358" s="52" t="s">
        <v>782</v>
      </c>
      <c r="I358" t="s">
        <v>100</v>
      </c>
      <c r="J358" s="10">
        <v>12320</v>
      </c>
      <c r="K358" s="10">
        <v>44367</v>
      </c>
      <c r="L358" t="s">
        <v>781</v>
      </c>
      <c r="M358" t="s">
        <v>40</v>
      </c>
      <c r="N358" s="107" t="str">
        <f>IF(_xlfn.NUMBERVALUE(DATEDIF(J358,K358,"Y"))-Table1[[#This Row],[Κατηγορία]]&lt;0,"* Check Age *","")</f>
        <v/>
      </c>
    </row>
    <row r="359" spans="1:15" ht="18" hidden="1" customHeight="1" x14ac:dyDescent="0.2">
      <c r="A359" s="9" t="s">
        <v>1155</v>
      </c>
      <c r="B359" s="9" t="s">
        <v>1162</v>
      </c>
      <c r="C359" s="12" t="s">
        <v>1267</v>
      </c>
      <c r="D359" s="9"/>
      <c r="E359" s="11" t="s">
        <v>1186</v>
      </c>
      <c r="F359" s="52" t="s">
        <v>1380</v>
      </c>
      <c r="I359" t="s">
        <v>100</v>
      </c>
      <c r="J359" s="10">
        <v>12320</v>
      </c>
      <c r="K359" s="10">
        <v>45844</v>
      </c>
      <c r="L359" t="s">
        <v>44</v>
      </c>
      <c r="M359" t="s">
        <v>957</v>
      </c>
      <c r="N359" s="107" t="str">
        <f>IF(_xlfn.NUMBERVALUE(DATEDIF(J359,K359,"Y"))-Table1[[#This Row],[Κατηγορία]]&lt;0,"* Check Age *","")</f>
        <v/>
      </c>
    </row>
    <row r="360" spans="1:15" ht="18" hidden="1" customHeight="1" x14ac:dyDescent="0.2">
      <c r="A360" s="9" t="s">
        <v>1202</v>
      </c>
      <c r="B360" s="9" t="s">
        <v>1162</v>
      </c>
      <c r="C360" s="23" t="s">
        <v>1256</v>
      </c>
      <c r="D360" s="9"/>
      <c r="E360" s="11" t="s">
        <v>1186</v>
      </c>
      <c r="F360" s="57" t="s">
        <v>586</v>
      </c>
      <c r="G360" s="1"/>
      <c r="H360" s="58"/>
      <c r="I360" s="1" t="s">
        <v>587</v>
      </c>
      <c r="J360" s="15">
        <v>23859</v>
      </c>
      <c r="K360" s="23">
        <v>2000</v>
      </c>
      <c r="L360" s="1" t="s">
        <v>44</v>
      </c>
      <c r="M360" s="1"/>
      <c r="N360" s="107"/>
    </row>
    <row r="361" spans="1:15" ht="18" hidden="1" customHeight="1" x14ac:dyDescent="0.2">
      <c r="A361" s="9" t="s">
        <v>1202</v>
      </c>
      <c r="B361" s="9" t="s">
        <v>1162</v>
      </c>
      <c r="C361" s="23" t="s">
        <v>1257</v>
      </c>
      <c r="D361" s="9"/>
      <c r="E361" s="11" t="s">
        <v>1186</v>
      </c>
      <c r="F361" s="57" t="s">
        <v>588</v>
      </c>
      <c r="G361" s="1"/>
      <c r="H361" s="58"/>
      <c r="I361" s="1" t="s">
        <v>589</v>
      </c>
      <c r="J361" s="15">
        <v>25281</v>
      </c>
      <c r="K361" s="23">
        <v>2009</v>
      </c>
      <c r="L361" s="1" t="s">
        <v>95</v>
      </c>
      <c r="M361" s="1"/>
      <c r="N361" s="107"/>
    </row>
    <row r="362" spans="1:15" ht="18" hidden="1" customHeight="1" x14ac:dyDescent="0.2">
      <c r="A362" s="9" t="s">
        <v>1202</v>
      </c>
      <c r="B362" s="9" t="s">
        <v>1162</v>
      </c>
      <c r="C362" s="23" t="s">
        <v>1258</v>
      </c>
      <c r="D362" s="9"/>
      <c r="E362" s="11" t="s">
        <v>1186</v>
      </c>
      <c r="F362" s="67" t="s">
        <v>590</v>
      </c>
      <c r="G362" s="68"/>
      <c r="H362" s="92"/>
      <c r="I362" s="1" t="s">
        <v>591</v>
      </c>
      <c r="J362" s="23">
        <v>1968</v>
      </c>
      <c r="K362" s="23">
        <v>2013</v>
      </c>
      <c r="L362" s="1" t="s">
        <v>44</v>
      </c>
      <c r="M362" s="1"/>
      <c r="N362" s="107"/>
    </row>
    <row r="363" spans="1:15" ht="18" hidden="1" customHeight="1" x14ac:dyDescent="0.2">
      <c r="A363" s="9" t="s">
        <v>1202</v>
      </c>
      <c r="B363" s="9" t="s">
        <v>1162</v>
      </c>
      <c r="C363" s="23" t="s">
        <v>1259</v>
      </c>
      <c r="D363" s="9"/>
      <c r="E363" s="11" t="s">
        <v>1186</v>
      </c>
      <c r="F363" s="57" t="s">
        <v>958</v>
      </c>
      <c r="G363" s="1"/>
      <c r="H363" s="58"/>
      <c r="I363" s="1" t="s">
        <v>941</v>
      </c>
      <c r="J363" s="15">
        <v>25631</v>
      </c>
      <c r="K363" s="13">
        <v>45081</v>
      </c>
      <c r="L363" t="s">
        <v>44</v>
      </c>
      <c r="M363" t="s">
        <v>957</v>
      </c>
      <c r="N363" s="107" t="str">
        <f>IF(_xlfn.NUMBERVALUE(DATEDIF(J363,K363,"Y"))-Table1[[#This Row],[Κατηγορία]]&lt;0,"* Check Age *","")</f>
        <v/>
      </c>
    </row>
    <row r="364" spans="1:15" ht="18" hidden="1" customHeight="1" x14ac:dyDescent="0.2">
      <c r="A364" s="9" t="s">
        <v>1202</v>
      </c>
      <c r="B364" s="9" t="s">
        <v>1162</v>
      </c>
      <c r="C364" s="23" t="s">
        <v>1260</v>
      </c>
      <c r="D364" s="9"/>
      <c r="E364" s="11" t="s">
        <v>1186</v>
      </c>
      <c r="F364" s="57" t="s">
        <v>1235</v>
      </c>
      <c r="G364" s="1"/>
      <c r="H364" s="58"/>
      <c r="I364" s="1" t="s">
        <v>941</v>
      </c>
      <c r="J364" s="15">
        <v>25631</v>
      </c>
      <c r="K364" s="15">
        <v>45795</v>
      </c>
      <c r="L364" s="1" t="s">
        <v>1236</v>
      </c>
      <c r="M364" s="1" t="s">
        <v>308</v>
      </c>
      <c r="N364" s="107" t="str">
        <f>IF(_xlfn.NUMBERVALUE(DATEDIF(J364,K364,"Y"))-Table1[[#This Row],[Κατηγορία]]&lt;0,"* Check Age *","")</f>
        <v/>
      </c>
    </row>
    <row r="365" spans="1:15" ht="18" hidden="1" customHeight="1" x14ac:dyDescent="0.2">
      <c r="A365" s="9" t="s">
        <v>1202</v>
      </c>
      <c r="B365" s="9" t="s">
        <v>1162</v>
      </c>
      <c r="C365" s="23" t="s">
        <v>1261</v>
      </c>
      <c r="D365" s="9"/>
      <c r="E365" s="11" t="s">
        <v>1186</v>
      </c>
      <c r="F365" s="57" t="s">
        <v>1109</v>
      </c>
      <c r="G365" s="1"/>
      <c r="H365" s="58"/>
      <c r="I365" s="1" t="s">
        <v>594</v>
      </c>
      <c r="J365" s="15">
        <v>23105</v>
      </c>
      <c r="K365" s="15">
        <v>45116</v>
      </c>
      <c r="L365" s="1" t="s">
        <v>23</v>
      </c>
      <c r="M365" s="1" t="s">
        <v>40</v>
      </c>
      <c r="N365" s="107" t="str">
        <f>IF(_xlfn.NUMBERVALUE(DATEDIF(J365,K365,"Y"))-Table1[[#This Row],[Κατηγορία]]&lt;0,"* Check Age *","")</f>
        <v/>
      </c>
    </row>
    <row r="366" spans="1:15" ht="18" hidden="1" customHeight="1" x14ac:dyDescent="0.2">
      <c r="A366" s="9" t="s">
        <v>1202</v>
      </c>
      <c r="B366" s="9" t="s">
        <v>1162</v>
      </c>
      <c r="C366" s="23" t="s">
        <v>1262</v>
      </c>
      <c r="D366" s="9"/>
      <c r="E366" s="11" t="s">
        <v>1186</v>
      </c>
      <c r="F366" s="57" t="s">
        <v>764</v>
      </c>
      <c r="G366" s="1"/>
      <c r="H366" s="58"/>
      <c r="I366" s="1" t="s">
        <v>763</v>
      </c>
      <c r="J366" s="15">
        <v>19869</v>
      </c>
      <c r="K366" s="15">
        <v>44115</v>
      </c>
      <c r="L366" s="1" t="s">
        <v>95</v>
      </c>
      <c r="M366" s="1"/>
      <c r="N366" s="107" t="str">
        <f>IF(_xlfn.NUMBERVALUE(DATEDIF(J366,K366,"Y"))-Table1[[#This Row],[Κατηγορία]]&lt;0,"* Check Age *","")</f>
        <v/>
      </c>
    </row>
    <row r="367" spans="1:15" ht="18" hidden="1" customHeight="1" x14ac:dyDescent="0.2">
      <c r="A367" s="9" t="s">
        <v>1202</v>
      </c>
      <c r="B367" s="9" t="s">
        <v>1162</v>
      </c>
      <c r="C367" s="23" t="s">
        <v>1263</v>
      </c>
      <c r="D367" s="9"/>
      <c r="E367" s="11" t="s">
        <v>1186</v>
      </c>
      <c r="F367" s="57" t="s">
        <v>1027</v>
      </c>
      <c r="G367" s="1"/>
      <c r="H367" s="58"/>
      <c r="I367" s="1" t="s">
        <v>1018</v>
      </c>
      <c r="J367" s="15">
        <v>19738</v>
      </c>
      <c r="K367" s="15">
        <v>45389</v>
      </c>
      <c r="L367" s="1" t="s">
        <v>1026</v>
      </c>
      <c r="M367" s="1" t="s">
        <v>300</v>
      </c>
      <c r="N367" s="107" t="str">
        <f>IF(_xlfn.NUMBERVALUE(DATEDIF(J367,K367,"Y"))-Table1[[#This Row],[Κατηγορία]]&lt;0,"* Check Age *","")</f>
        <v/>
      </c>
    </row>
    <row r="368" spans="1:15" ht="18" hidden="1" customHeight="1" x14ac:dyDescent="0.2">
      <c r="A368" s="9" t="s">
        <v>1202</v>
      </c>
      <c r="B368" s="9" t="s">
        <v>1162</v>
      </c>
      <c r="C368" s="23" t="s">
        <v>1265</v>
      </c>
      <c r="D368" s="9"/>
      <c r="E368" s="11" t="s">
        <v>1186</v>
      </c>
      <c r="F368" s="57" t="s">
        <v>836</v>
      </c>
      <c r="G368" s="1"/>
      <c r="H368" s="58"/>
      <c r="I368" s="1" t="s">
        <v>572</v>
      </c>
      <c r="J368" s="15">
        <v>14628</v>
      </c>
      <c r="K368" s="15">
        <v>44745</v>
      </c>
      <c r="L368" s="1" t="s">
        <v>829</v>
      </c>
      <c r="M368" s="1" t="s">
        <v>85</v>
      </c>
      <c r="N368" s="107" t="str">
        <f>IF(_xlfn.NUMBERVALUE(DATEDIF(J368,K368,"Y"))-Table1[[#This Row],[Κατηγορία]]&lt;0,"* Check Age *","")</f>
        <v/>
      </c>
    </row>
    <row r="369" spans="1:14" ht="18" hidden="1" customHeight="1" x14ac:dyDescent="0.2">
      <c r="A369" s="9" t="s">
        <v>1202</v>
      </c>
      <c r="B369" s="9" t="s">
        <v>1162</v>
      </c>
      <c r="C369" s="23" t="s">
        <v>1266</v>
      </c>
      <c r="D369" s="9"/>
      <c r="E369" s="11" t="s">
        <v>1186</v>
      </c>
      <c r="F369" s="57" t="s">
        <v>970</v>
      </c>
      <c r="G369" s="1"/>
      <c r="H369" s="58"/>
      <c r="I369" s="1" t="s">
        <v>286</v>
      </c>
      <c r="J369" s="15">
        <v>12394</v>
      </c>
      <c r="K369" s="15">
        <v>45171</v>
      </c>
      <c r="L369" t="s">
        <v>57</v>
      </c>
      <c r="M369" t="s">
        <v>15</v>
      </c>
      <c r="N369" s="107" t="str">
        <f>IF(_xlfn.NUMBERVALUE(DATEDIF(J369,K369,"Y"))-Table1[[#This Row],[Κατηγορία]]&lt;0,"* Check Age *","")</f>
        <v/>
      </c>
    </row>
    <row r="370" spans="1:14" ht="18" hidden="1" customHeight="1" x14ac:dyDescent="0.2">
      <c r="A370" s="9" t="s">
        <v>1155</v>
      </c>
      <c r="B370" s="9" t="s">
        <v>1172</v>
      </c>
      <c r="C370" s="12" t="s">
        <v>1256</v>
      </c>
      <c r="D370" s="9"/>
      <c r="E370" s="11" t="s">
        <v>1186</v>
      </c>
      <c r="F370" s="52" t="s">
        <v>1068</v>
      </c>
      <c r="G370" s="61"/>
      <c r="H370" s="64"/>
      <c r="I370" t="s">
        <v>1017</v>
      </c>
      <c r="J370" s="10">
        <v>32404</v>
      </c>
      <c r="K370" s="10">
        <v>45473</v>
      </c>
      <c r="L370" t="s">
        <v>46</v>
      </c>
      <c r="M370" s="61" t="s">
        <v>155</v>
      </c>
      <c r="N370" s="107" t="str">
        <f>IF(_xlfn.NUMBERVALUE(DATEDIF(J370,K370,"Y"))-Table1[[#This Row],[Κατηγορία]]&lt;0,"* Check Age *","")</f>
        <v/>
      </c>
    </row>
    <row r="371" spans="1:14" ht="18" hidden="1" customHeight="1" x14ac:dyDescent="0.2">
      <c r="A371" s="9" t="s">
        <v>1155</v>
      </c>
      <c r="B371" s="9" t="s">
        <v>1172</v>
      </c>
      <c r="C371" s="12" t="s">
        <v>1257</v>
      </c>
      <c r="D371" s="9"/>
      <c r="E371" s="11" t="s">
        <v>1186</v>
      </c>
      <c r="F371" s="52" t="s">
        <v>358</v>
      </c>
      <c r="G371" s="61"/>
      <c r="H371" s="64"/>
      <c r="I371" t="s">
        <v>345</v>
      </c>
      <c r="J371" s="10">
        <v>19482</v>
      </c>
      <c r="K371" s="11">
        <v>1993</v>
      </c>
      <c r="L371" t="s">
        <v>44</v>
      </c>
      <c r="N371" s="107"/>
    </row>
    <row r="372" spans="1:14" ht="18" hidden="1" customHeight="1" x14ac:dyDescent="0.2">
      <c r="A372" s="9" t="s">
        <v>1155</v>
      </c>
      <c r="B372" s="9" t="s">
        <v>1172</v>
      </c>
      <c r="C372" s="12" t="s">
        <v>1258</v>
      </c>
      <c r="D372" s="9"/>
      <c r="E372" s="11" t="s">
        <v>1186</v>
      </c>
      <c r="F372" s="52" t="s">
        <v>725</v>
      </c>
      <c r="G372" s="61"/>
      <c r="H372" s="64"/>
      <c r="I372" t="s">
        <v>345</v>
      </c>
      <c r="J372" s="10">
        <v>19482</v>
      </c>
      <c r="K372" s="11">
        <v>1999</v>
      </c>
      <c r="L372" t="s">
        <v>704</v>
      </c>
      <c r="M372" t="s">
        <v>85</v>
      </c>
      <c r="N372" s="107"/>
    </row>
    <row r="373" spans="1:14" ht="18" hidden="1" customHeight="1" x14ac:dyDescent="0.2">
      <c r="A373" s="9" t="s">
        <v>1155</v>
      </c>
      <c r="B373" s="9" t="s">
        <v>1172</v>
      </c>
      <c r="C373" s="12" t="s">
        <v>1258</v>
      </c>
      <c r="D373" s="9"/>
      <c r="E373" s="11" t="s">
        <v>1187</v>
      </c>
      <c r="F373" s="52" t="s">
        <v>880</v>
      </c>
      <c r="G373" s="61"/>
      <c r="H373" s="64"/>
      <c r="I373" t="s">
        <v>345</v>
      </c>
      <c r="J373" s="10">
        <v>19482</v>
      </c>
      <c r="K373" s="10">
        <v>36932</v>
      </c>
      <c r="L373" s="61" t="s">
        <v>44</v>
      </c>
      <c r="M373" t="s">
        <v>343</v>
      </c>
      <c r="N373" s="107" t="str">
        <f>IF(_xlfn.NUMBERVALUE(DATEDIF(J373,K373,"Y"))-Table1[[#This Row],[Κατηγορία]]&lt;0,"* Check Age *","")</f>
        <v/>
      </c>
    </row>
    <row r="374" spans="1:14" ht="18" hidden="1" customHeight="1" x14ac:dyDescent="0.2">
      <c r="A374" s="9" t="s">
        <v>1155</v>
      </c>
      <c r="B374" s="9" t="s">
        <v>1172</v>
      </c>
      <c r="C374" s="12" t="s">
        <v>1259</v>
      </c>
      <c r="D374" s="9"/>
      <c r="E374" s="11" t="s">
        <v>1186</v>
      </c>
      <c r="F374" s="52" t="s">
        <v>360</v>
      </c>
      <c r="G374" s="61"/>
      <c r="H374" s="64"/>
      <c r="I374" t="s">
        <v>345</v>
      </c>
      <c r="J374" s="10">
        <v>19482</v>
      </c>
      <c r="K374" s="11">
        <v>2004</v>
      </c>
      <c r="L374" s="61" t="s">
        <v>71</v>
      </c>
      <c r="M374" t="s">
        <v>343</v>
      </c>
      <c r="N374" s="107"/>
    </row>
    <row r="375" spans="1:14" ht="18" hidden="1" customHeight="1" x14ac:dyDescent="0.2">
      <c r="A375" s="9" t="s">
        <v>1155</v>
      </c>
      <c r="B375" s="9" t="s">
        <v>1172</v>
      </c>
      <c r="C375" s="12" t="s">
        <v>1260</v>
      </c>
      <c r="D375" s="9"/>
      <c r="E375" s="11" t="s">
        <v>1186</v>
      </c>
      <c r="F375" s="52" t="s">
        <v>361</v>
      </c>
      <c r="G375" s="61"/>
      <c r="H375" s="64"/>
      <c r="I375" t="s">
        <v>362</v>
      </c>
      <c r="J375" s="10">
        <v>19228</v>
      </c>
      <c r="K375" s="11">
        <v>2010</v>
      </c>
      <c r="L375" t="s">
        <v>60</v>
      </c>
      <c r="M375" s="61" t="s">
        <v>15</v>
      </c>
      <c r="N375" s="107"/>
    </row>
    <row r="376" spans="1:14" ht="18" hidden="1" customHeight="1" x14ac:dyDescent="0.2">
      <c r="A376" s="9" t="s">
        <v>1155</v>
      </c>
      <c r="B376" s="9" t="s">
        <v>1172</v>
      </c>
      <c r="C376" s="12" t="s">
        <v>1261</v>
      </c>
      <c r="D376" s="9"/>
      <c r="E376" s="11" t="s">
        <v>1186</v>
      </c>
      <c r="F376" s="52" t="s">
        <v>592</v>
      </c>
      <c r="G376" s="61"/>
      <c r="H376" s="64"/>
      <c r="I376" t="s">
        <v>346</v>
      </c>
      <c r="J376" s="10">
        <v>13180</v>
      </c>
      <c r="K376" s="11">
        <v>1996</v>
      </c>
      <c r="L376" t="s">
        <v>44</v>
      </c>
      <c r="M376" s="60"/>
      <c r="N376" s="107"/>
    </row>
    <row r="377" spans="1:14" ht="18" hidden="1" customHeight="1" x14ac:dyDescent="0.2">
      <c r="A377" s="9" t="s">
        <v>1155</v>
      </c>
      <c r="B377" s="9" t="s">
        <v>1172</v>
      </c>
      <c r="C377" s="12" t="s">
        <v>1262</v>
      </c>
      <c r="D377" s="9"/>
      <c r="E377" s="11" t="s">
        <v>1186</v>
      </c>
      <c r="F377" s="52" t="s">
        <v>359</v>
      </c>
      <c r="G377" s="61"/>
      <c r="H377" s="64"/>
      <c r="I377" t="s">
        <v>346</v>
      </c>
      <c r="J377" s="10">
        <v>13180</v>
      </c>
      <c r="K377" s="10">
        <v>37884</v>
      </c>
      <c r="L377" s="61" t="s">
        <v>145</v>
      </c>
      <c r="M377" s="61" t="s">
        <v>15</v>
      </c>
      <c r="N377" s="107" t="str">
        <f>IF(_xlfn.NUMBERVALUE(DATEDIF(J377,K377,"Y"))-Table1[[#This Row],[Κατηγορία]]&lt;0,"* Check Age *","")</f>
        <v/>
      </c>
    </row>
    <row r="378" spans="1:14" ht="18" hidden="1" customHeight="1" x14ac:dyDescent="0.2">
      <c r="A378" s="9" t="s">
        <v>1155</v>
      </c>
      <c r="B378" s="9" t="s">
        <v>1172</v>
      </c>
      <c r="C378" s="12" t="s">
        <v>1263</v>
      </c>
      <c r="D378" s="9"/>
      <c r="E378" s="11" t="s">
        <v>1186</v>
      </c>
      <c r="F378" s="52" t="s">
        <v>866</v>
      </c>
      <c r="G378" s="61"/>
      <c r="H378" s="64"/>
      <c r="I378" t="s">
        <v>362</v>
      </c>
      <c r="J378" s="10">
        <v>19228</v>
      </c>
      <c r="K378" s="10">
        <v>44828</v>
      </c>
      <c r="L378" s="61" t="s">
        <v>95</v>
      </c>
      <c r="M378" s="61" t="s">
        <v>15</v>
      </c>
      <c r="N378" s="107" t="str">
        <f>IF(_xlfn.NUMBERVALUE(DATEDIF(J378,K378,"Y"))-Table1[[#This Row],[Κατηγορία]]&lt;0,"* Check Age *","")</f>
        <v/>
      </c>
    </row>
    <row r="379" spans="1:14" ht="18" hidden="1" customHeight="1" x14ac:dyDescent="0.2">
      <c r="A379" s="9" t="s">
        <v>1155</v>
      </c>
      <c r="B379" s="9" t="s">
        <v>1172</v>
      </c>
      <c r="C379" s="12" t="s">
        <v>1264</v>
      </c>
      <c r="D379" s="9"/>
      <c r="E379" s="11" t="s">
        <v>1186</v>
      </c>
      <c r="F379" s="52" t="s">
        <v>736</v>
      </c>
      <c r="G379" s="61"/>
      <c r="H379" s="64"/>
      <c r="I379" t="s">
        <v>347</v>
      </c>
      <c r="J379" s="10">
        <v>16314</v>
      </c>
      <c r="K379" s="10">
        <v>43729</v>
      </c>
      <c r="L379" t="s">
        <v>35</v>
      </c>
      <c r="M379" t="s">
        <v>15</v>
      </c>
      <c r="N379" s="107" t="str">
        <f>IF(_xlfn.NUMBERVALUE(DATEDIF(J379,K379,"Y"))-Table1[[#This Row],[Κατηγορία]]&lt;0,"* Check Age *","")</f>
        <v/>
      </c>
    </row>
    <row r="380" spans="1:14" ht="18" hidden="1" customHeight="1" x14ac:dyDescent="0.2">
      <c r="A380" s="9" t="s">
        <v>1155</v>
      </c>
      <c r="B380" s="9" t="s">
        <v>1172</v>
      </c>
      <c r="C380" s="12" t="s">
        <v>1265</v>
      </c>
      <c r="D380" s="9"/>
      <c r="E380" s="11" t="s">
        <v>1186</v>
      </c>
      <c r="F380" s="52" t="s">
        <v>1099</v>
      </c>
      <c r="G380" s="61"/>
      <c r="H380" s="64"/>
      <c r="I380" t="s">
        <v>94</v>
      </c>
      <c r="J380" s="10">
        <v>16073</v>
      </c>
      <c r="K380" s="10">
        <v>45524</v>
      </c>
      <c r="L380" s="1" t="s">
        <v>1091</v>
      </c>
      <c r="M380" s="1" t="s">
        <v>85</v>
      </c>
      <c r="N380" s="107" t="str">
        <f>IF(_xlfn.NUMBERVALUE(DATEDIF(J380,K380,"Y"))-Table1[[#This Row],[Κατηγορία]]&lt;0,"* Check Age *","")</f>
        <v/>
      </c>
    </row>
    <row r="381" spans="1:14" ht="18" hidden="1" customHeight="1" x14ac:dyDescent="0.2">
      <c r="A381" s="9" t="s">
        <v>1155</v>
      </c>
      <c r="B381" s="9" t="s">
        <v>1172</v>
      </c>
      <c r="C381" s="12" t="s">
        <v>1266</v>
      </c>
      <c r="D381" s="9"/>
      <c r="E381" s="11" t="s">
        <v>1186</v>
      </c>
      <c r="F381" s="52" t="s">
        <v>867</v>
      </c>
      <c r="G381" s="61"/>
      <c r="H381" s="64"/>
      <c r="I381" t="s">
        <v>100</v>
      </c>
      <c r="J381" s="10">
        <v>12320</v>
      </c>
      <c r="K381" s="10">
        <v>44828</v>
      </c>
      <c r="L381" s="61" t="s">
        <v>95</v>
      </c>
      <c r="M381" s="61" t="s">
        <v>15</v>
      </c>
      <c r="N381" s="107" t="str">
        <f>IF(_xlfn.NUMBERVALUE(DATEDIF(J381,K381,"Y"))-Table1[[#This Row],[Κατηγορία]]&lt;0,"* Check Age *","")</f>
        <v/>
      </c>
    </row>
    <row r="382" spans="1:14" ht="18" hidden="1" customHeight="1" x14ac:dyDescent="0.2">
      <c r="A382" s="9" t="s">
        <v>1155</v>
      </c>
      <c r="B382" s="9" t="s">
        <v>1172</v>
      </c>
      <c r="C382" s="12" t="s">
        <v>1267</v>
      </c>
      <c r="D382" s="9"/>
      <c r="E382" s="11" t="s">
        <v>1186</v>
      </c>
      <c r="F382" s="52" t="s">
        <v>1073</v>
      </c>
      <c r="I382" t="s">
        <v>100</v>
      </c>
      <c r="J382" s="10">
        <v>12320</v>
      </c>
      <c r="K382" s="10">
        <v>45479</v>
      </c>
      <c r="L382" t="s">
        <v>1026</v>
      </c>
      <c r="M382" t="s">
        <v>40</v>
      </c>
      <c r="N382" s="107" t="str">
        <f>IF(_xlfn.NUMBERVALUE(DATEDIF(J382,K382,"Y"))-Table1[[#This Row],[Κατηγορία]]&lt;0,"* Check Age *","")</f>
        <v/>
      </c>
    </row>
    <row r="383" spans="1:14" ht="18" hidden="1" customHeight="1" x14ac:dyDescent="0.2">
      <c r="A383" s="9" t="s">
        <v>1202</v>
      </c>
      <c r="B383" s="9" t="s">
        <v>1172</v>
      </c>
      <c r="C383" s="23" t="s">
        <v>1256</v>
      </c>
      <c r="D383" s="9"/>
      <c r="E383" s="11" t="s">
        <v>1186</v>
      </c>
      <c r="F383" s="57" t="s">
        <v>828</v>
      </c>
      <c r="G383" s="1"/>
      <c r="H383" s="89"/>
      <c r="I383" s="1" t="s">
        <v>287</v>
      </c>
      <c r="J383" s="15">
        <v>30762</v>
      </c>
      <c r="K383" s="15">
        <v>44735</v>
      </c>
      <c r="L383" s="4" t="s">
        <v>71</v>
      </c>
      <c r="M383" s="1" t="s">
        <v>802</v>
      </c>
      <c r="N383" s="107" t="str">
        <f>IF(_xlfn.NUMBERVALUE(DATEDIF(J383,K383,"Y"))-Table1[[#This Row],[Κατηγορία]]&lt;0,"* Check Age *","")</f>
        <v/>
      </c>
    </row>
    <row r="384" spans="1:14" ht="18" hidden="1" customHeight="1" x14ac:dyDescent="0.2">
      <c r="A384" s="9" t="s">
        <v>1202</v>
      </c>
      <c r="B384" s="9" t="s">
        <v>1172</v>
      </c>
      <c r="C384" s="23" t="s">
        <v>1257</v>
      </c>
      <c r="D384" s="9"/>
      <c r="E384" s="11" t="s">
        <v>1186</v>
      </c>
      <c r="F384" s="57" t="s">
        <v>626</v>
      </c>
      <c r="G384" s="1"/>
      <c r="H384" s="89"/>
      <c r="I384" s="1" t="s">
        <v>618</v>
      </c>
      <c r="J384" s="15">
        <v>24465</v>
      </c>
      <c r="K384" s="15">
        <v>40083</v>
      </c>
      <c r="L384" s="4" t="s">
        <v>57</v>
      </c>
      <c r="M384" s="1" t="s">
        <v>15</v>
      </c>
      <c r="N384" s="107" t="str">
        <f>IF(_xlfn.NUMBERVALUE(DATEDIF(J384,K384,"Y"))-Table1[[#This Row],[Κατηγορία]]&lt;0,"* Check Age *","")</f>
        <v/>
      </c>
    </row>
    <row r="385" spans="1:15" ht="18" hidden="1" customHeight="1" x14ac:dyDescent="0.2">
      <c r="A385" s="9" t="s">
        <v>1202</v>
      </c>
      <c r="B385" s="9" t="s">
        <v>1172</v>
      </c>
      <c r="C385" s="23" t="s">
        <v>1258</v>
      </c>
      <c r="D385" s="9"/>
      <c r="E385" s="11" t="s">
        <v>1186</v>
      </c>
      <c r="F385" s="57" t="s">
        <v>1083</v>
      </c>
      <c r="G385" s="4"/>
      <c r="H385" s="89"/>
      <c r="I385" s="1" t="s">
        <v>289</v>
      </c>
      <c r="J385" s="15">
        <v>28758</v>
      </c>
      <c r="K385" s="15">
        <v>45479</v>
      </c>
      <c r="L385" s="1" t="s">
        <v>1026</v>
      </c>
      <c r="M385" s="1" t="s">
        <v>343</v>
      </c>
      <c r="N385" s="107" t="str">
        <f>IF(_xlfn.NUMBERVALUE(DATEDIF(J385,K385,"Y"))-Table1[[#This Row],[Κατηγορία]]&lt;0,"* Check Age *","")</f>
        <v/>
      </c>
    </row>
    <row r="386" spans="1:15" ht="18" hidden="1" customHeight="1" x14ac:dyDescent="0.2">
      <c r="A386" s="9" t="s">
        <v>1202</v>
      </c>
      <c r="B386" s="9" t="s">
        <v>1172</v>
      </c>
      <c r="C386" s="23" t="s">
        <v>1259</v>
      </c>
      <c r="D386" s="9"/>
      <c r="E386" s="11" t="s">
        <v>1186</v>
      </c>
      <c r="F386" s="57" t="s">
        <v>628</v>
      </c>
      <c r="G386" s="4"/>
      <c r="H386" s="89"/>
      <c r="I386" s="1" t="s">
        <v>618</v>
      </c>
      <c r="J386" s="15">
        <v>24465</v>
      </c>
      <c r="K386" s="15">
        <v>43714</v>
      </c>
      <c r="L386" s="4" t="s">
        <v>627</v>
      </c>
      <c r="M386" s="1" t="s">
        <v>79</v>
      </c>
      <c r="N386" s="107" t="str">
        <f>IF(_xlfn.NUMBERVALUE(DATEDIF(J386,K386,"Y"))-Table1[[#This Row],[Κατηγορία]]&lt;0,"* Check Age *","")</f>
        <v/>
      </c>
    </row>
    <row r="387" spans="1:15" ht="18" hidden="1" customHeight="1" x14ac:dyDescent="0.2">
      <c r="A387" s="9" t="s">
        <v>1202</v>
      </c>
      <c r="B387" s="9" t="s">
        <v>1172</v>
      </c>
      <c r="C387" s="23" t="s">
        <v>1260</v>
      </c>
      <c r="D387" s="9"/>
      <c r="E387" s="11" t="s">
        <v>1186</v>
      </c>
      <c r="F387" s="57" t="s">
        <v>1416</v>
      </c>
      <c r="G387" s="4"/>
      <c r="H387" s="89"/>
      <c r="I387" s="1" t="s">
        <v>618</v>
      </c>
      <c r="J387" s="15">
        <v>24465</v>
      </c>
      <c r="K387" s="15">
        <v>45941</v>
      </c>
      <c r="L387" s="4" t="s">
        <v>1413</v>
      </c>
      <c r="M387" s="1" t="s">
        <v>79</v>
      </c>
      <c r="N387" s="107"/>
    </row>
    <row r="388" spans="1:15" ht="18" hidden="1" customHeight="1" x14ac:dyDescent="0.2">
      <c r="A388" s="9" t="s">
        <v>1202</v>
      </c>
      <c r="B388" s="9" t="s">
        <v>1172</v>
      </c>
      <c r="C388" s="23" t="s">
        <v>1261</v>
      </c>
      <c r="D388" s="9"/>
      <c r="E388" s="11" t="s">
        <v>1186</v>
      </c>
      <c r="F388" s="57" t="s">
        <v>1084</v>
      </c>
      <c r="G388" s="4"/>
      <c r="H388" s="89"/>
      <c r="I388" s="1" t="s">
        <v>1000</v>
      </c>
      <c r="J388" s="15">
        <v>21892</v>
      </c>
      <c r="K388" s="15">
        <v>45171</v>
      </c>
      <c r="L388" s="1" t="s">
        <v>1026</v>
      </c>
      <c r="M388" s="1" t="s">
        <v>343</v>
      </c>
      <c r="N388" s="107" t="str">
        <f>IF(_xlfn.NUMBERVALUE(DATEDIF(J388,K388,"Y"))-Table1[[#This Row],[Κατηγορία]]&lt;0,"* Check Age *","")</f>
        <v/>
      </c>
    </row>
    <row r="389" spans="1:15" ht="18" hidden="1" customHeight="1" x14ac:dyDescent="0.2">
      <c r="A389" s="9" t="s">
        <v>1202</v>
      </c>
      <c r="B389" s="9" t="s">
        <v>1172</v>
      </c>
      <c r="C389" s="23" t="s">
        <v>1262</v>
      </c>
      <c r="D389" s="9"/>
      <c r="E389" s="11" t="s">
        <v>1186</v>
      </c>
      <c r="F389" s="57" t="s">
        <v>1082</v>
      </c>
      <c r="G389" s="4"/>
      <c r="H389" s="89"/>
      <c r="I389" s="1" t="s">
        <v>971</v>
      </c>
      <c r="J389" s="15">
        <v>21476</v>
      </c>
      <c r="K389" s="15">
        <v>45479</v>
      </c>
      <c r="L389" s="1" t="s">
        <v>1026</v>
      </c>
      <c r="M389" s="1" t="s">
        <v>343</v>
      </c>
      <c r="N389" s="107" t="str">
        <f>IF(_xlfn.NUMBERVALUE(DATEDIF(J389,K389,"Y"))-Table1[[#This Row],[Κατηγορία]]&lt;0,"* Check Age *","")</f>
        <v/>
      </c>
    </row>
    <row r="390" spans="1:15" ht="18" hidden="1" customHeight="1" x14ac:dyDescent="0.2">
      <c r="A390" s="9" t="s">
        <v>1202</v>
      </c>
      <c r="B390" s="9" t="s">
        <v>1172</v>
      </c>
      <c r="C390" s="23" t="s">
        <v>1265</v>
      </c>
      <c r="D390" s="9"/>
      <c r="E390" s="11" t="s">
        <v>1186</v>
      </c>
      <c r="F390" s="57" t="s">
        <v>629</v>
      </c>
      <c r="G390" s="1"/>
      <c r="H390" s="58"/>
      <c r="I390" s="1" t="s">
        <v>286</v>
      </c>
      <c r="J390" s="15">
        <v>12394</v>
      </c>
      <c r="K390" s="15">
        <v>42637</v>
      </c>
      <c r="L390" s="1" t="s">
        <v>113</v>
      </c>
      <c r="M390" s="1" t="s">
        <v>15</v>
      </c>
      <c r="N390" s="107" t="str">
        <f>IF(_xlfn.NUMBERVALUE(DATEDIF(J390,K390,"Y"))-Table1[[#This Row],[Κατηγορία]]&lt;0,"* Check Age *","")</f>
        <v/>
      </c>
    </row>
    <row r="391" spans="1:15" ht="18" hidden="1" customHeight="1" x14ac:dyDescent="0.2">
      <c r="A391" s="9" t="s">
        <v>1155</v>
      </c>
      <c r="B391" s="9" t="s">
        <v>1159</v>
      </c>
      <c r="C391" s="12" t="s">
        <v>1256</v>
      </c>
      <c r="D391" s="9"/>
      <c r="E391" s="11" t="s">
        <v>1186</v>
      </c>
      <c r="F391" s="52" t="s">
        <v>104</v>
      </c>
      <c r="I391" t="s">
        <v>105</v>
      </c>
      <c r="J391" s="10">
        <v>19810</v>
      </c>
      <c r="K391" s="10">
        <v>32662</v>
      </c>
      <c r="L391" t="s">
        <v>106</v>
      </c>
      <c r="M391" t="s">
        <v>107</v>
      </c>
      <c r="N391" s="107" t="str">
        <f>IF(_xlfn.NUMBERVALUE(DATEDIF(J391,K391,"Y"))-Table1[[#This Row],[Κατηγορία]]&lt;0,"* Check Age *","")</f>
        <v/>
      </c>
    </row>
    <row r="392" spans="1:15" ht="18" hidden="1" customHeight="1" x14ac:dyDescent="0.2">
      <c r="A392" s="9" t="s">
        <v>1155</v>
      </c>
      <c r="B392" s="9" t="s">
        <v>1159</v>
      </c>
      <c r="C392" s="12" t="s">
        <v>1257</v>
      </c>
      <c r="D392" s="9"/>
      <c r="E392" s="11" t="s">
        <v>1186</v>
      </c>
      <c r="F392" s="52" t="s">
        <v>108</v>
      </c>
      <c r="I392" t="s">
        <v>109</v>
      </c>
      <c r="J392" s="10">
        <v>28219</v>
      </c>
      <c r="K392" s="10">
        <v>43288</v>
      </c>
      <c r="L392" t="s">
        <v>158</v>
      </c>
      <c r="M392" t="s">
        <v>119</v>
      </c>
      <c r="N392" s="107" t="str">
        <f>IF(_xlfn.NUMBERVALUE(DATEDIF(J392,K392,"Y"))-Table1[[#This Row],[Κατηγορία]]&lt;0,"* Check Age *","")</f>
        <v/>
      </c>
    </row>
    <row r="393" spans="1:15" ht="18" hidden="1" customHeight="1" x14ac:dyDescent="0.2">
      <c r="A393" s="9" t="s">
        <v>1155</v>
      </c>
      <c r="B393" s="9" t="s">
        <v>1159</v>
      </c>
      <c r="C393" s="12" t="s">
        <v>1258</v>
      </c>
      <c r="D393" s="9"/>
      <c r="E393" s="11" t="s">
        <v>1186</v>
      </c>
      <c r="F393" s="52" t="s">
        <v>110</v>
      </c>
      <c r="I393" t="s">
        <v>111</v>
      </c>
      <c r="J393" s="11">
        <v>1941</v>
      </c>
      <c r="K393" s="11">
        <v>1989</v>
      </c>
      <c r="L393" t="s">
        <v>112</v>
      </c>
      <c r="N393" s="107"/>
    </row>
    <row r="394" spans="1:15" ht="18" hidden="1" customHeight="1" x14ac:dyDescent="0.2">
      <c r="A394" s="9" t="s">
        <v>1155</v>
      </c>
      <c r="B394" s="9" t="s">
        <v>1159</v>
      </c>
      <c r="C394" s="12" t="s">
        <v>1259</v>
      </c>
      <c r="D394" s="9"/>
      <c r="E394" s="11" t="s">
        <v>1186</v>
      </c>
      <c r="F394" s="52" t="s">
        <v>1418</v>
      </c>
      <c r="I394" t="s">
        <v>129</v>
      </c>
      <c r="J394" s="10">
        <v>27181</v>
      </c>
      <c r="K394" s="10">
        <v>45947</v>
      </c>
      <c r="L394" s="1" t="s">
        <v>1413</v>
      </c>
      <c r="M394" t="s">
        <v>79</v>
      </c>
      <c r="N394" s="107"/>
    </row>
    <row r="395" spans="1:15" ht="18" hidden="1" customHeight="1" x14ac:dyDescent="0.2">
      <c r="A395" s="9" t="s">
        <v>1155</v>
      </c>
      <c r="B395" s="9" t="s">
        <v>1159</v>
      </c>
      <c r="C395" s="12" t="s">
        <v>1260</v>
      </c>
      <c r="D395" s="9"/>
      <c r="E395" s="11" t="s">
        <v>1186</v>
      </c>
      <c r="F395" s="52" t="s">
        <v>742</v>
      </c>
      <c r="I395" t="s">
        <v>743</v>
      </c>
      <c r="J395" s="10">
        <v>22107</v>
      </c>
      <c r="K395" s="10">
        <v>42547</v>
      </c>
      <c r="L395" t="s">
        <v>86</v>
      </c>
      <c r="M395" t="s">
        <v>490</v>
      </c>
      <c r="N395" s="107" t="str">
        <f>IF(_xlfn.NUMBERVALUE(DATEDIF(J395,K395,"Y"))-Table1[[#This Row],[Κατηγορία]]&lt;0,"* Check Age *","")</f>
        <v/>
      </c>
    </row>
    <row r="396" spans="1:15" ht="18" hidden="1" customHeight="1" x14ac:dyDescent="0.2">
      <c r="A396" s="128" t="s">
        <v>1155</v>
      </c>
      <c r="B396" s="128" t="s">
        <v>1159</v>
      </c>
      <c r="C396" s="129" t="s">
        <v>1261</v>
      </c>
      <c r="D396" s="128"/>
      <c r="E396" s="130" t="s">
        <v>1186</v>
      </c>
      <c r="F396" s="131" t="s">
        <v>114</v>
      </c>
      <c r="G396" s="132"/>
      <c r="H396" s="130"/>
      <c r="I396" s="132" t="s">
        <v>924</v>
      </c>
      <c r="J396" s="133">
        <v>21121</v>
      </c>
      <c r="K396" s="133">
        <v>43000</v>
      </c>
      <c r="L396" s="132" t="s">
        <v>63</v>
      </c>
      <c r="M396" s="132" t="s">
        <v>15</v>
      </c>
      <c r="N396" s="134" t="str">
        <f>IF(_xlfn.NUMBERVALUE(DATEDIF(J396,K396,"Y"))-Table1[[#This Row],[Κατηγορία]]&lt;0,CONCATENATE("* Check Age = ",TEXT(DATEDIF(J396,K396,"Y"),"00"),"*"),"")</f>
        <v>* Check Age = 59*</v>
      </c>
      <c r="O396" s="132" t="s">
        <v>1427</v>
      </c>
    </row>
    <row r="397" spans="1:15" ht="18" hidden="1" customHeight="1" x14ac:dyDescent="0.2">
      <c r="A397" s="9" t="s">
        <v>1155</v>
      </c>
      <c r="B397" s="9" t="s">
        <v>1159</v>
      </c>
      <c r="C397" s="12" t="s">
        <v>1262</v>
      </c>
      <c r="D397" s="9"/>
      <c r="E397" s="11" t="s">
        <v>1186</v>
      </c>
      <c r="F397" s="52" t="s">
        <v>115</v>
      </c>
      <c r="I397" t="s">
        <v>116</v>
      </c>
      <c r="J397" s="10">
        <v>12913</v>
      </c>
      <c r="K397" s="11">
        <v>2001</v>
      </c>
      <c r="L397" t="s">
        <v>117</v>
      </c>
      <c r="M397" t="s">
        <v>40</v>
      </c>
      <c r="N397" s="107"/>
    </row>
    <row r="398" spans="1:15" ht="18" hidden="1" customHeight="1" x14ac:dyDescent="0.2">
      <c r="A398" s="9" t="s">
        <v>1155</v>
      </c>
      <c r="B398" s="9" t="s">
        <v>1159</v>
      </c>
      <c r="C398" s="12" t="s">
        <v>1263</v>
      </c>
      <c r="D398" s="9"/>
      <c r="E398" s="11" t="s">
        <v>1186</v>
      </c>
      <c r="F398" s="52" t="s">
        <v>120</v>
      </c>
      <c r="I398" t="s">
        <v>94</v>
      </c>
      <c r="J398" s="10">
        <v>16073</v>
      </c>
      <c r="K398" s="10">
        <v>42533</v>
      </c>
      <c r="L398" t="s">
        <v>66</v>
      </c>
      <c r="M398" t="s">
        <v>40</v>
      </c>
      <c r="N398" s="107" t="str">
        <f>IF(_xlfn.NUMBERVALUE(DATEDIF(J398,K398,"Y"))-Table1[[#This Row],[Κατηγορία]]&lt;0,"* Check Age *","")</f>
        <v/>
      </c>
    </row>
    <row r="399" spans="1:15" ht="18" hidden="1" customHeight="1" x14ac:dyDescent="0.2">
      <c r="A399" s="9" t="s">
        <v>1155</v>
      </c>
      <c r="B399" s="9" t="s">
        <v>1159</v>
      </c>
      <c r="C399" s="12" t="s">
        <v>1264</v>
      </c>
      <c r="D399" s="9"/>
      <c r="E399" s="11" t="s">
        <v>1186</v>
      </c>
      <c r="F399" s="52" t="s">
        <v>121</v>
      </c>
      <c r="I399" t="s">
        <v>94</v>
      </c>
      <c r="J399" s="10">
        <v>16073</v>
      </c>
      <c r="K399" s="10">
        <v>43632</v>
      </c>
      <c r="L399" t="s">
        <v>122</v>
      </c>
      <c r="M399" t="s">
        <v>40</v>
      </c>
      <c r="N399" s="107" t="str">
        <f>IF(_xlfn.NUMBERVALUE(DATEDIF(J399,K399,"Y"))-Table1[[#This Row],[Κατηγορία]]&lt;0,"* Check Age *","")</f>
        <v/>
      </c>
    </row>
    <row r="400" spans="1:15" ht="18" hidden="1" customHeight="1" x14ac:dyDescent="0.2">
      <c r="A400" s="9" t="s">
        <v>1155</v>
      </c>
      <c r="B400" s="9" t="s">
        <v>1159</v>
      </c>
      <c r="C400" s="12" t="s">
        <v>1265</v>
      </c>
      <c r="D400" s="9"/>
      <c r="E400" s="11" t="s">
        <v>1186</v>
      </c>
      <c r="F400" s="52" t="s">
        <v>123</v>
      </c>
      <c r="I400" t="s">
        <v>124</v>
      </c>
      <c r="J400" s="10">
        <v>5706</v>
      </c>
      <c r="K400" s="11">
        <v>1996</v>
      </c>
      <c r="L400" t="s">
        <v>44</v>
      </c>
      <c r="N400" s="107"/>
    </row>
    <row r="401" spans="1:15" ht="18" hidden="1" customHeight="1" x14ac:dyDescent="0.2">
      <c r="A401" s="9" t="s">
        <v>1155</v>
      </c>
      <c r="B401" s="9" t="s">
        <v>1159</v>
      </c>
      <c r="C401" s="12" t="s">
        <v>1266</v>
      </c>
      <c r="D401" s="9"/>
      <c r="E401" s="11" t="s">
        <v>1186</v>
      </c>
      <c r="F401" s="52" t="s">
        <v>125</v>
      </c>
      <c r="I401" t="s">
        <v>59</v>
      </c>
      <c r="J401" s="10">
        <v>10618</v>
      </c>
      <c r="K401" s="11">
        <v>2016</v>
      </c>
      <c r="L401" t="s">
        <v>127</v>
      </c>
      <c r="M401" t="s">
        <v>85</v>
      </c>
      <c r="N401" s="107"/>
    </row>
    <row r="402" spans="1:15" ht="18" hidden="1" customHeight="1" x14ac:dyDescent="0.2">
      <c r="A402" s="9" t="s">
        <v>1155</v>
      </c>
      <c r="B402" s="9" t="s">
        <v>1159</v>
      </c>
      <c r="C402" s="12" t="s">
        <v>1267</v>
      </c>
      <c r="D402" s="9"/>
      <c r="E402" s="11" t="s">
        <v>1186</v>
      </c>
      <c r="F402" s="52" t="s">
        <v>126</v>
      </c>
      <c r="I402" t="s">
        <v>59</v>
      </c>
      <c r="J402" s="10">
        <v>10618</v>
      </c>
      <c r="K402" s="10">
        <v>43728</v>
      </c>
      <c r="L402" t="s">
        <v>35</v>
      </c>
      <c r="M402" t="s">
        <v>15</v>
      </c>
      <c r="N402" s="107" t="str">
        <f>IF(_xlfn.NUMBERVALUE(DATEDIF(J402,K402,"Y"))-Table1[[#This Row],[Κατηγορία]]&lt;0,"* Check Age *","")</f>
        <v/>
      </c>
    </row>
    <row r="403" spans="1:15" ht="18" hidden="1" customHeight="1" x14ac:dyDescent="0.2">
      <c r="A403" s="9" t="s">
        <v>1155</v>
      </c>
      <c r="B403" s="9" t="s">
        <v>1159</v>
      </c>
      <c r="C403" s="12" t="s">
        <v>1268</v>
      </c>
      <c r="D403" s="9"/>
      <c r="E403" s="11" t="s">
        <v>1186</v>
      </c>
      <c r="F403" s="52" t="s">
        <v>1092</v>
      </c>
      <c r="I403" t="s">
        <v>59</v>
      </c>
      <c r="J403" s="10">
        <v>10618</v>
      </c>
      <c r="K403" s="10">
        <v>45519</v>
      </c>
      <c r="L403" s="1" t="s">
        <v>1091</v>
      </c>
      <c r="M403" s="1" t="s">
        <v>85</v>
      </c>
      <c r="N403" s="107" t="str">
        <f>IF(_xlfn.NUMBERVALUE(DATEDIF(J403,K403,"Y"))-Table1[[#This Row],[Κατηγορία]]&lt;0,"* Check Age *","")</f>
        <v/>
      </c>
    </row>
    <row r="404" spans="1:15" ht="18" customHeight="1" x14ac:dyDescent="0.2">
      <c r="A404" s="9" t="s">
        <v>1202</v>
      </c>
      <c r="B404" s="9" t="s">
        <v>1159</v>
      </c>
      <c r="C404" s="23" t="s">
        <v>1256</v>
      </c>
      <c r="D404" s="9"/>
      <c r="E404" s="11" t="s">
        <v>1186</v>
      </c>
      <c r="F404" s="57" t="s">
        <v>573</v>
      </c>
      <c r="G404" s="1"/>
      <c r="H404" s="58"/>
      <c r="I404" s="1" t="s">
        <v>574</v>
      </c>
      <c r="J404" s="15">
        <v>27378</v>
      </c>
      <c r="K404" s="15">
        <v>41076</v>
      </c>
      <c r="L404" s="1" t="s">
        <v>154</v>
      </c>
      <c r="M404" s="1" t="s">
        <v>155</v>
      </c>
      <c r="N404" s="107" t="str">
        <f>IF(_xlfn.NUMBERVALUE(DATEDIF(J404,K404,"Y"))-Table1[[#This Row],[Κατηγορία]]&lt;0,"* Check Age *","")</f>
        <v/>
      </c>
    </row>
    <row r="405" spans="1:15" ht="18" customHeight="1" x14ac:dyDescent="0.2">
      <c r="A405" s="9" t="s">
        <v>1202</v>
      </c>
      <c r="B405" s="9" t="s">
        <v>1159</v>
      </c>
      <c r="C405" s="23" t="s">
        <v>1257</v>
      </c>
      <c r="D405" s="9"/>
      <c r="E405" s="11" t="s">
        <v>1186</v>
      </c>
      <c r="F405" s="57" t="s">
        <v>550</v>
      </c>
      <c r="G405" s="1"/>
      <c r="H405" s="58"/>
      <c r="I405" s="1" t="s">
        <v>535</v>
      </c>
      <c r="J405" s="15">
        <v>28520</v>
      </c>
      <c r="K405" s="15">
        <v>43232</v>
      </c>
      <c r="L405" s="1" t="s">
        <v>86</v>
      </c>
      <c r="M405" s="1" t="s">
        <v>308</v>
      </c>
      <c r="N405" s="107" t="str">
        <f>IF(_xlfn.NUMBERVALUE(DATEDIF(J405,K405,"Y"))-Table1[[#This Row],[Κατηγορία]]&lt;0,"* Check Age *","")</f>
        <v/>
      </c>
    </row>
    <row r="406" spans="1:15" ht="18" customHeight="1" x14ac:dyDescent="0.2">
      <c r="A406" s="9" t="s">
        <v>1202</v>
      </c>
      <c r="B406" s="9" t="s">
        <v>1159</v>
      </c>
      <c r="C406" s="23" t="s">
        <v>1258</v>
      </c>
      <c r="D406" s="9"/>
      <c r="E406" s="11" t="s">
        <v>1186</v>
      </c>
      <c r="F406" s="57" t="s">
        <v>1096</v>
      </c>
      <c r="G406" s="1"/>
      <c r="H406" s="58"/>
      <c r="I406" s="1" t="s">
        <v>535</v>
      </c>
      <c r="J406" s="15">
        <v>28520</v>
      </c>
      <c r="K406" s="15">
        <v>45521</v>
      </c>
      <c r="L406" s="1" t="s">
        <v>1091</v>
      </c>
      <c r="M406" s="1" t="s">
        <v>85</v>
      </c>
      <c r="N406" s="107" t="str">
        <f>IF(_xlfn.NUMBERVALUE(DATEDIF(J406,K406,"Y"))-Table1[[#This Row],[Κατηγορία]]&lt;0,"* Check Age *","")</f>
        <v/>
      </c>
    </row>
    <row r="407" spans="1:15" ht="18" customHeight="1" x14ac:dyDescent="0.2">
      <c r="A407" s="9" t="s">
        <v>1202</v>
      </c>
      <c r="B407" s="9" t="s">
        <v>1159</v>
      </c>
      <c r="C407" s="23" t="s">
        <v>1259</v>
      </c>
      <c r="D407" s="9"/>
      <c r="E407" s="11" t="s">
        <v>1186</v>
      </c>
      <c r="F407" s="57" t="s">
        <v>575</v>
      </c>
      <c r="G407" s="1"/>
      <c r="H407" s="58"/>
      <c r="I407" s="1" t="s">
        <v>564</v>
      </c>
      <c r="J407" s="15">
        <v>16041</v>
      </c>
      <c r="K407" s="23">
        <v>1994</v>
      </c>
      <c r="L407" s="1" t="s">
        <v>44</v>
      </c>
      <c r="M407" s="1"/>
      <c r="N407" s="107"/>
    </row>
    <row r="408" spans="1:15" ht="18" customHeight="1" x14ac:dyDescent="0.2">
      <c r="A408" s="9" t="s">
        <v>1202</v>
      </c>
      <c r="B408" s="9" t="s">
        <v>1159</v>
      </c>
      <c r="C408" s="23" t="s">
        <v>1260</v>
      </c>
      <c r="D408" s="9"/>
      <c r="E408" s="11" t="s">
        <v>1186</v>
      </c>
      <c r="F408" s="57" t="s">
        <v>1365</v>
      </c>
      <c r="G408" s="1"/>
      <c r="H408" s="58"/>
      <c r="I408" t="str">
        <f>'Database Names'!A99</f>
        <v>Ελένη Στεφανιδάκη</v>
      </c>
      <c r="J408" s="10">
        <v>25631</v>
      </c>
      <c r="K408" s="13">
        <v>45819</v>
      </c>
      <c r="L408" s="1" t="s">
        <v>1138</v>
      </c>
      <c r="M408" s="1" t="s">
        <v>1352</v>
      </c>
      <c r="N408" s="107" t="str">
        <f>IF(_xlfn.NUMBERVALUE(DATEDIF(J408,K408,"Y"))-Table1[[#This Row],[Κατηγορία]]&lt;0,"* Check Age *","")</f>
        <v/>
      </c>
    </row>
    <row r="409" spans="1:15" ht="18" customHeight="1" x14ac:dyDescent="0.2">
      <c r="A409" s="9" t="s">
        <v>1202</v>
      </c>
      <c r="B409" s="9" t="s">
        <v>1159</v>
      </c>
      <c r="C409" s="23" t="s">
        <v>1261</v>
      </c>
      <c r="D409" s="9"/>
      <c r="E409" s="11" t="s">
        <v>1186</v>
      </c>
      <c r="F409" s="67" t="s">
        <v>1117</v>
      </c>
      <c r="G409" s="68"/>
      <c r="H409" s="58"/>
      <c r="I409" s="1" t="s">
        <v>594</v>
      </c>
      <c r="J409" s="15">
        <v>23105</v>
      </c>
      <c r="K409" s="15">
        <v>45562</v>
      </c>
      <c r="L409" s="1" t="s">
        <v>1101</v>
      </c>
      <c r="M409" s="1" t="s">
        <v>15</v>
      </c>
      <c r="N409" s="107" t="str">
        <f>IF(_xlfn.NUMBERVALUE(DATEDIF(J409,K409,"Y"))-Table1[[#This Row],[Κατηγορία]]&lt;0,"* Check Age *","")</f>
        <v/>
      </c>
    </row>
    <row r="410" spans="1:15" ht="18" customHeight="1" x14ac:dyDescent="0.2">
      <c r="A410" s="9" t="s">
        <v>1202</v>
      </c>
      <c r="B410" s="9" t="s">
        <v>1159</v>
      </c>
      <c r="C410" s="23" t="s">
        <v>1262</v>
      </c>
      <c r="D410" s="9"/>
      <c r="E410" s="11" t="s">
        <v>1186</v>
      </c>
      <c r="F410" s="57" t="s">
        <v>842</v>
      </c>
      <c r="G410" s="1"/>
      <c r="H410" s="58"/>
      <c r="I410" s="1" t="s">
        <v>763</v>
      </c>
      <c r="J410" s="15">
        <v>19869</v>
      </c>
      <c r="K410" s="15">
        <v>44759</v>
      </c>
      <c r="L410" s="4" t="s">
        <v>46</v>
      </c>
      <c r="M410" s="1" t="s">
        <v>343</v>
      </c>
      <c r="N410" s="107" t="str">
        <f>IF(_xlfn.NUMBERVALUE(DATEDIF(J410,K410,"Y"))-Table1[[#This Row],[Κατηγορία]]&lt;0,"* Check Age *","")</f>
        <v/>
      </c>
    </row>
    <row r="411" spans="1:15" ht="18" customHeight="1" x14ac:dyDescent="0.2">
      <c r="A411" s="9" t="s">
        <v>1202</v>
      </c>
      <c r="B411" s="9" t="s">
        <v>1159</v>
      </c>
      <c r="C411" s="23" t="s">
        <v>1263</v>
      </c>
      <c r="D411" s="9"/>
      <c r="E411" s="11" t="s">
        <v>1186</v>
      </c>
      <c r="F411" s="57" t="s">
        <v>578</v>
      </c>
      <c r="G411" s="1"/>
      <c r="H411" s="58"/>
      <c r="I411" s="1" t="s">
        <v>577</v>
      </c>
      <c r="J411" s="15">
        <v>16032</v>
      </c>
      <c r="K411" s="15">
        <v>42266</v>
      </c>
      <c r="L411" s="1" t="s">
        <v>95</v>
      </c>
      <c r="M411" s="1" t="s">
        <v>15</v>
      </c>
      <c r="N411" s="107" t="str">
        <f>IF(_xlfn.NUMBERVALUE(DATEDIF(J411,K411,"Y"))-Table1[[#This Row],[Κατηγορία]]&lt;0,"* Check Age *","")</f>
        <v/>
      </c>
    </row>
    <row r="412" spans="1:15" ht="18" customHeight="1" x14ac:dyDescent="0.2">
      <c r="A412" s="9" t="s">
        <v>1202</v>
      </c>
      <c r="B412" s="9" t="s">
        <v>1159</v>
      </c>
      <c r="C412" s="23" t="s">
        <v>1265</v>
      </c>
      <c r="D412" s="9"/>
      <c r="E412" s="11" t="s">
        <v>1186</v>
      </c>
      <c r="F412" s="57" t="s">
        <v>1080</v>
      </c>
      <c r="G412" s="1"/>
      <c r="H412" s="58"/>
      <c r="I412" s="1" t="s">
        <v>572</v>
      </c>
      <c r="J412" s="15">
        <v>14628</v>
      </c>
      <c r="K412" s="15">
        <v>45480</v>
      </c>
      <c r="L412" s="1" t="s">
        <v>1026</v>
      </c>
      <c r="M412" s="1" t="s">
        <v>343</v>
      </c>
      <c r="N412" s="107" t="str">
        <f>IF(_xlfn.NUMBERVALUE(DATEDIF(J412,K412,"Y"))-Table1[[#This Row],[Κατηγορία]]&lt;0,"* Check Age *","")</f>
        <v/>
      </c>
    </row>
    <row r="413" spans="1:15" ht="18" customHeight="1" x14ac:dyDescent="0.2">
      <c r="A413" s="9" t="s">
        <v>1202</v>
      </c>
      <c r="B413" s="9" t="s">
        <v>1159</v>
      </c>
      <c r="C413" s="23" t="s">
        <v>1266</v>
      </c>
      <c r="D413" s="9"/>
      <c r="E413" s="11" t="s">
        <v>1186</v>
      </c>
      <c r="F413" s="57" t="s">
        <v>1231</v>
      </c>
      <c r="G413" s="1"/>
      <c r="H413" s="58"/>
      <c r="I413" s="1" t="s">
        <v>572</v>
      </c>
      <c r="J413" s="15">
        <v>14628</v>
      </c>
      <c r="K413" s="15">
        <v>45781</v>
      </c>
      <c r="L413" t="s">
        <v>1223</v>
      </c>
      <c r="M413" t="s">
        <v>40</v>
      </c>
      <c r="N413" s="107" t="str">
        <f>IF(_xlfn.NUMBERVALUE(DATEDIF(J413,K413,"Y"))-Table1[[#This Row],[Κατηγορία]]&lt;0,"* Check Age *","")</f>
        <v/>
      </c>
    </row>
    <row r="414" spans="1:15" ht="18" hidden="1" customHeight="1" x14ac:dyDescent="0.2">
      <c r="A414" s="9" t="s">
        <v>1155</v>
      </c>
      <c r="B414" s="9" t="s">
        <v>1165</v>
      </c>
      <c r="C414" s="12" t="s">
        <v>1263</v>
      </c>
      <c r="D414" s="9" t="s">
        <v>1240</v>
      </c>
      <c r="E414" s="11" t="s">
        <v>1186</v>
      </c>
      <c r="F414" s="52" t="s">
        <v>219</v>
      </c>
      <c r="I414" t="s">
        <v>212</v>
      </c>
      <c r="J414" s="10">
        <v>13492</v>
      </c>
      <c r="K414" s="10">
        <v>38984</v>
      </c>
      <c r="L414" t="s">
        <v>44</v>
      </c>
      <c r="M414" t="s">
        <v>15</v>
      </c>
      <c r="N414" s="107" t="str">
        <f>IF(_xlfn.NUMBERVALUE(DATEDIF(J414,K414,"Y"))-Table1[[#This Row],[Κατηγορία]]&lt;0,CONCATENATE("* Check Age = ",TEXT(DATEDIF(J414,K414,"Y"),"00"),"*"),"")</f>
        <v>* Check Age = 69*</v>
      </c>
      <c r="O414" t="s">
        <v>1427</v>
      </c>
    </row>
    <row r="415" spans="1:15" ht="18" hidden="1" customHeight="1" x14ac:dyDescent="0.2">
      <c r="A415" s="9" t="s">
        <v>1155</v>
      </c>
      <c r="B415" s="9" t="s">
        <v>1165</v>
      </c>
      <c r="C415" s="12" t="s">
        <v>1264</v>
      </c>
      <c r="D415" s="9" t="s">
        <v>1240</v>
      </c>
      <c r="E415" s="11" t="s">
        <v>1186</v>
      </c>
      <c r="F415" s="52" t="s">
        <v>220</v>
      </c>
      <c r="I415" t="s">
        <v>212</v>
      </c>
      <c r="J415" s="10">
        <v>13492</v>
      </c>
      <c r="K415" s="11">
        <v>2012</v>
      </c>
      <c r="L415" t="s">
        <v>57</v>
      </c>
      <c r="M415" t="s">
        <v>15</v>
      </c>
      <c r="N415" s="107"/>
    </row>
    <row r="416" spans="1:15" ht="18" hidden="1" customHeight="1" x14ac:dyDescent="0.2">
      <c r="A416" s="9" t="s">
        <v>1155</v>
      </c>
      <c r="B416" s="9" t="s">
        <v>1165</v>
      </c>
      <c r="C416" s="12" t="s">
        <v>1265</v>
      </c>
      <c r="D416" s="9" t="s">
        <v>1241</v>
      </c>
      <c r="E416" s="11" t="s">
        <v>1186</v>
      </c>
      <c r="F416" s="52" t="s">
        <v>221</v>
      </c>
      <c r="I416" t="s">
        <v>212</v>
      </c>
      <c r="J416" s="10">
        <v>13492</v>
      </c>
      <c r="K416" s="10">
        <v>43001</v>
      </c>
      <c r="L416" t="s">
        <v>63</v>
      </c>
      <c r="M416" t="s">
        <v>15</v>
      </c>
      <c r="N416" s="107" t="str">
        <f>IF(_xlfn.NUMBERVALUE(DATEDIF(J416,K416,"Y"))-Table1[[#This Row],[Κατηγορία]]&lt;0,"* Check Age *","")</f>
        <v/>
      </c>
    </row>
    <row r="417" spans="1:14" ht="18" hidden="1" customHeight="1" x14ac:dyDescent="0.2">
      <c r="A417" s="9" t="s">
        <v>1202</v>
      </c>
      <c r="B417" s="9" t="s">
        <v>1165</v>
      </c>
      <c r="C417" s="23" t="s">
        <v>1257</v>
      </c>
      <c r="D417" s="9" t="s">
        <v>1254</v>
      </c>
      <c r="E417" s="11" t="s">
        <v>1186</v>
      </c>
      <c r="F417" s="57" t="s">
        <v>986</v>
      </c>
      <c r="G417" s="1"/>
      <c r="H417" s="58"/>
      <c r="I417" t="s">
        <v>969</v>
      </c>
      <c r="J417" s="13">
        <v>29177</v>
      </c>
      <c r="K417" s="15">
        <v>45197</v>
      </c>
      <c r="L417" t="s">
        <v>980</v>
      </c>
      <c r="M417" t="s">
        <v>79</v>
      </c>
      <c r="N417" s="107" t="str">
        <f>IF(_xlfn.NUMBERVALUE(DATEDIF(J417,K417,"Y"))-Table1[[#This Row],[Κατηγορία]]&lt;0,"* Check Age *","")</f>
        <v/>
      </c>
    </row>
    <row r="418" spans="1:14" ht="18" hidden="1" customHeight="1" x14ac:dyDescent="0.2">
      <c r="A418" s="9" t="s">
        <v>1202</v>
      </c>
      <c r="B418" s="9" t="s">
        <v>1165</v>
      </c>
      <c r="C418" s="23" t="s">
        <v>1258</v>
      </c>
      <c r="D418" s="9" t="s">
        <v>1254</v>
      </c>
      <c r="E418" s="11" t="s">
        <v>1186</v>
      </c>
      <c r="F418" s="57" t="s">
        <v>207</v>
      </c>
      <c r="G418" s="1"/>
      <c r="H418" s="58"/>
      <c r="I418" s="1" t="s">
        <v>609</v>
      </c>
      <c r="J418" s="15">
        <v>27803</v>
      </c>
      <c r="K418" s="15">
        <v>44800</v>
      </c>
      <c r="L418" s="1" t="s">
        <v>23</v>
      </c>
      <c r="M418" s="1" t="s">
        <v>15</v>
      </c>
      <c r="N418" s="107" t="str">
        <f>IF(_xlfn.NUMBERVALUE(DATEDIF(J418,K418,"Y"))-Table1[[#This Row],[Κατηγορία]]&lt;0,"* Check Age *","")</f>
        <v/>
      </c>
    </row>
    <row r="419" spans="1:14" ht="18" hidden="1" customHeight="1" x14ac:dyDescent="0.2">
      <c r="A419" s="9" t="s">
        <v>1202</v>
      </c>
      <c r="B419" s="9" t="s">
        <v>1165</v>
      </c>
      <c r="C419" s="23" t="s">
        <v>1259</v>
      </c>
      <c r="D419" s="9" t="s">
        <v>1254</v>
      </c>
      <c r="E419" s="11" t="s">
        <v>1186</v>
      </c>
      <c r="F419" s="57" t="s">
        <v>537</v>
      </c>
      <c r="G419" s="1"/>
      <c r="H419" s="58"/>
      <c r="I419" s="1" t="s">
        <v>538</v>
      </c>
      <c r="J419" s="15">
        <v>24543</v>
      </c>
      <c r="K419" s="15">
        <v>43632</v>
      </c>
      <c r="L419" s="1" t="s">
        <v>122</v>
      </c>
      <c r="M419" s="1" t="s">
        <v>343</v>
      </c>
      <c r="N419" s="107" t="str">
        <f>IF(_xlfn.NUMBERVALUE(DATEDIF(J419,K419,"Y"))-Table1[[#This Row],[Κατηγορία]]&lt;0,"* Check Age *","")</f>
        <v/>
      </c>
    </row>
    <row r="420" spans="1:14" ht="18" hidden="1" customHeight="1" x14ac:dyDescent="0.2">
      <c r="A420" s="9" t="s">
        <v>1202</v>
      </c>
      <c r="B420" s="9" t="s">
        <v>1165</v>
      </c>
      <c r="C420" s="23" t="s">
        <v>1260</v>
      </c>
      <c r="D420" s="9" t="s">
        <v>1254</v>
      </c>
      <c r="E420" s="11" t="s">
        <v>1186</v>
      </c>
      <c r="F420" s="57" t="s">
        <v>1081</v>
      </c>
      <c r="G420" s="1"/>
      <c r="H420" s="58"/>
      <c r="I420" s="1" t="s">
        <v>538</v>
      </c>
      <c r="J420" s="15">
        <v>24543</v>
      </c>
      <c r="K420" s="15">
        <v>45480</v>
      </c>
      <c r="L420" s="1" t="s">
        <v>1026</v>
      </c>
      <c r="M420" s="1" t="s">
        <v>343</v>
      </c>
      <c r="N420" s="107" t="str">
        <f>IF(_xlfn.NUMBERVALUE(DATEDIF(J420,K420,"Y"))-Table1[[#This Row],[Κατηγορία]]&lt;0,"* Check Age *","")</f>
        <v/>
      </c>
    </row>
    <row r="421" spans="1:14" ht="18" hidden="1" customHeight="1" x14ac:dyDescent="0.2">
      <c r="A421" s="9" t="s">
        <v>1202</v>
      </c>
      <c r="B421" s="9" t="s">
        <v>1165</v>
      </c>
      <c r="C421" s="23" t="s">
        <v>1261</v>
      </c>
      <c r="D421" s="9" t="s">
        <v>1255</v>
      </c>
      <c r="E421" s="11" t="s">
        <v>1186</v>
      </c>
      <c r="F421" s="57" t="s">
        <v>608</v>
      </c>
      <c r="G421" s="1"/>
      <c r="H421" s="58"/>
      <c r="I421" s="1" t="s">
        <v>543</v>
      </c>
      <c r="J421" s="15">
        <v>16444</v>
      </c>
      <c r="K421" s="23">
        <v>2005</v>
      </c>
      <c r="L421" s="1" t="s">
        <v>611</v>
      </c>
      <c r="M421" s="1" t="s">
        <v>85</v>
      </c>
      <c r="N421" s="107"/>
    </row>
    <row r="422" spans="1:14" ht="18" hidden="1" customHeight="1" x14ac:dyDescent="0.2">
      <c r="A422" s="9" t="s">
        <v>1202</v>
      </c>
      <c r="B422" s="9" t="s">
        <v>1165</v>
      </c>
      <c r="C422" s="23" t="s">
        <v>1262</v>
      </c>
      <c r="D422" s="9" t="s">
        <v>1255</v>
      </c>
      <c r="E422" s="11" t="s">
        <v>1186</v>
      </c>
      <c r="F422" s="57" t="s">
        <v>613</v>
      </c>
      <c r="G422" s="1"/>
      <c r="H422" s="58"/>
      <c r="I422" s="1" t="s">
        <v>543</v>
      </c>
      <c r="J422" s="15">
        <v>16444</v>
      </c>
      <c r="K422" s="15">
        <v>40379</v>
      </c>
      <c r="L422" s="1" t="s">
        <v>89</v>
      </c>
      <c r="M422" s="1" t="s">
        <v>79</v>
      </c>
      <c r="N422" s="107" t="str">
        <f>IF(_xlfn.NUMBERVALUE(DATEDIF(J422,K422,"Y"))-Table1[[#This Row],[Κατηγορία]]&lt;0,"* Check Age *","")</f>
        <v/>
      </c>
    </row>
    <row r="423" spans="1:14" ht="18" hidden="1" customHeight="1" x14ac:dyDescent="0.2">
      <c r="A423" s="9" t="s">
        <v>1202</v>
      </c>
      <c r="B423" s="9" t="s">
        <v>1165</v>
      </c>
      <c r="C423" s="23" t="s">
        <v>1263</v>
      </c>
      <c r="D423" s="9" t="s">
        <v>1255</v>
      </c>
      <c r="E423" s="11" t="s">
        <v>1186</v>
      </c>
      <c r="F423" s="57" t="s">
        <v>612</v>
      </c>
      <c r="G423" s="1"/>
      <c r="H423" s="58"/>
      <c r="I423" s="1" t="s">
        <v>543</v>
      </c>
      <c r="J423" s="15">
        <v>16444</v>
      </c>
      <c r="K423" s="15">
        <v>42266</v>
      </c>
      <c r="L423" s="1" t="s">
        <v>95</v>
      </c>
      <c r="M423" s="1" t="s">
        <v>15</v>
      </c>
      <c r="N423" s="107" t="str">
        <f>IF(_xlfn.NUMBERVALUE(DATEDIF(J423,K423,"Y"))-Table1[[#This Row],[Κατηγορία]]&lt;0,"* Check Age *","")</f>
        <v/>
      </c>
    </row>
    <row r="424" spans="1:14" ht="18" hidden="1" customHeight="1" x14ac:dyDescent="0.2">
      <c r="A424" s="9" t="s">
        <v>1155</v>
      </c>
      <c r="B424" s="9" t="s">
        <v>312</v>
      </c>
      <c r="C424" s="12" t="s">
        <v>1256</v>
      </c>
      <c r="D424" s="9">
        <v>800</v>
      </c>
      <c r="E424" s="11" t="s">
        <v>1186</v>
      </c>
      <c r="F424" s="52" t="s">
        <v>313</v>
      </c>
      <c r="I424" t="s">
        <v>314</v>
      </c>
      <c r="J424" s="10">
        <v>29918</v>
      </c>
      <c r="K424" s="10">
        <v>43568</v>
      </c>
      <c r="L424" t="s">
        <v>130</v>
      </c>
      <c r="M424" t="s">
        <v>315</v>
      </c>
      <c r="N424" s="107" t="str">
        <f>IF(_xlfn.NUMBERVALUE(DATEDIF(J424,K424,"Y"))-Table1[[#This Row],[Κατηγορία]]&lt;0,"* Check Age *","")</f>
        <v/>
      </c>
    </row>
    <row r="425" spans="1:14" ht="18" hidden="1" customHeight="1" x14ac:dyDescent="0.2">
      <c r="A425" s="9" t="s">
        <v>1155</v>
      </c>
      <c r="B425" s="9" t="s">
        <v>312</v>
      </c>
      <c r="C425" s="12" t="s">
        <v>1257</v>
      </c>
      <c r="D425" s="9">
        <v>800</v>
      </c>
      <c r="E425" s="11" t="s">
        <v>1186</v>
      </c>
      <c r="F425" s="52" t="s">
        <v>452</v>
      </c>
      <c r="I425" t="s">
        <v>453</v>
      </c>
      <c r="J425" s="11">
        <v>1944</v>
      </c>
      <c r="K425" s="11">
        <v>1985</v>
      </c>
      <c r="L425" t="s">
        <v>454</v>
      </c>
      <c r="N425" s="107"/>
    </row>
    <row r="426" spans="1:14" ht="18" hidden="1" customHeight="1" x14ac:dyDescent="0.2">
      <c r="A426" s="9" t="s">
        <v>1155</v>
      </c>
      <c r="B426" s="9" t="s">
        <v>312</v>
      </c>
      <c r="C426" s="12" t="s">
        <v>1258</v>
      </c>
      <c r="D426" s="9">
        <v>800</v>
      </c>
      <c r="E426" s="11" t="s">
        <v>1186</v>
      </c>
      <c r="F426" s="52" t="s">
        <v>455</v>
      </c>
      <c r="I426" t="s">
        <v>453</v>
      </c>
      <c r="J426" s="11">
        <v>1944</v>
      </c>
      <c r="K426" s="10">
        <v>33377</v>
      </c>
      <c r="L426" t="s">
        <v>44</v>
      </c>
      <c r="N426" s="107" t="str">
        <f>IF(_xlfn.NUMBERVALUE(DATEDIF(J426,K426,"Y"))-Table1[[#This Row],[Κατηγορία]]&lt;0,"* Check Age *","")</f>
        <v/>
      </c>
    </row>
    <row r="427" spans="1:14" ht="18" hidden="1" customHeight="1" x14ac:dyDescent="0.2">
      <c r="A427" s="9" t="s">
        <v>1155</v>
      </c>
      <c r="B427" s="9" t="s">
        <v>312</v>
      </c>
      <c r="C427" s="12" t="s">
        <v>1259</v>
      </c>
      <c r="D427" s="9">
        <v>800</v>
      </c>
      <c r="E427" s="11" t="s">
        <v>1186</v>
      </c>
      <c r="F427" s="52" t="s">
        <v>920</v>
      </c>
      <c r="I427" t="s">
        <v>921</v>
      </c>
      <c r="J427" s="10">
        <v>26473</v>
      </c>
      <c r="K427" s="10">
        <v>44842</v>
      </c>
      <c r="L427" t="s">
        <v>922</v>
      </c>
      <c r="M427" t="s">
        <v>923</v>
      </c>
      <c r="N427" s="107" t="str">
        <f>IF(_xlfn.NUMBERVALUE(DATEDIF(J427,K427,"Y"))-Table1[[#This Row],[Κατηγορία]]&lt;0,"* Check Age *","")</f>
        <v/>
      </c>
    </row>
    <row r="428" spans="1:14" ht="18" hidden="1" customHeight="1" x14ac:dyDescent="0.2">
      <c r="A428" s="9" t="s">
        <v>1155</v>
      </c>
      <c r="B428" s="9" t="s">
        <v>312</v>
      </c>
      <c r="C428" s="12" t="s">
        <v>1259</v>
      </c>
      <c r="D428" s="9">
        <v>700</v>
      </c>
      <c r="E428" s="11" t="s">
        <v>1186</v>
      </c>
      <c r="F428" s="52" t="s">
        <v>456</v>
      </c>
      <c r="I428" t="s">
        <v>457</v>
      </c>
      <c r="J428" s="10">
        <v>14635</v>
      </c>
      <c r="K428" s="10">
        <v>33502</v>
      </c>
      <c r="L428" t="s">
        <v>44</v>
      </c>
      <c r="M428" t="s">
        <v>15</v>
      </c>
      <c r="N428" s="107" t="str">
        <f>IF(_xlfn.NUMBERVALUE(DATEDIF(J428,K428,"Y"))-Table1[[#This Row],[Κατηγορία]]&lt;0,"* Check Age *","")</f>
        <v/>
      </c>
    </row>
    <row r="429" spans="1:14" ht="18" hidden="1" customHeight="1" x14ac:dyDescent="0.2">
      <c r="A429" s="9" t="s">
        <v>1155</v>
      </c>
      <c r="B429" s="9" t="s">
        <v>312</v>
      </c>
      <c r="C429" s="12" t="s">
        <v>1260</v>
      </c>
      <c r="D429" s="9">
        <v>700</v>
      </c>
      <c r="E429" s="11" t="s">
        <v>1186</v>
      </c>
      <c r="F429" s="52" t="s">
        <v>458</v>
      </c>
      <c r="I429" t="s">
        <v>457</v>
      </c>
      <c r="J429" s="10">
        <v>14635</v>
      </c>
      <c r="K429" s="11">
        <v>1996</v>
      </c>
      <c r="L429" t="s">
        <v>44</v>
      </c>
      <c r="N429" s="107"/>
    </row>
    <row r="430" spans="1:14" ht="18" hidden="1" customHeight="1" x14ac:dyDescent="0.2">
      <c r="A430" s="9" t="s">
        <v>1155</v>
      </c>
      <c r="B430" s="9" t="s">
        <v>312</v>
      </c>
      <c r="C430" s="12" t="s">
        <v>1261</v>
      </c>
      <c r="D430" s="9">
        <v>600</v>
      </c>
      <c r="E430" s="11" t="s">
        <v>1186</v>
      </c>
      <c r="F430" s="52" t="s">
        <v>459</v>
      </c>
      <c r="I430" t="s">
        <v>460</v>
      </c>
      <c r="J430" s="11">
        <v>1933</v>
      </c>
      <c r="K430" s="11">
        <v>1994</v>
      </c>
      <c r="L430" t="s">
        <v>44</v>
      </c>
      <c r="N430" s="107"/>
    </row>
    <row r="431" spans="1:14" ht="18" hidden="1" customHeight="1" x14ac:dyDescent="0.2">
      <c r="A431" s="9" t="s">
        <v>1155</v>
      </c>
      <c r="B431" s="9" t="s">
        <v>312</v>
      </c>
      <c r="C431" s="12" t="s">
        <v>1262</v>
      </c>
      <c r="D431" s="9">
        <v>600</v>
      </c>
      <c r="E431" s="11" t="s">
        <v>1186</v>
      </c>
      <c r="F431" s="52" t="s">
        <v>461</v>
      </c>
      <c r="I431" t="s">
        <v>462</v>
      </c>
      <c r="J431" s="10">
        <v>15220</v>
      </c>
      <c r="K431" s="11">
        <v>2006</v>
      </c>
      <c r="L431" t="s">
        <v>44</v>
      </c>
      <c r="N431" s="107"/>
    </row>
    <row r="432" spans="1:14" ht="18" hidden="1" customHeight="1" x14ac:dyDescent="0.2">
      <c r="A432" s="9" t="s">
        <v>1155</v>
      </c>
      <c r="B432" s="9" t="s">
        <v>312</v>
      </c>
      <c r="C432" s="12" t="s">
        <v>1263</v>
      </c>
      <c r="D432" s="9">
        <v>500</v>
      </c>
      <c r="E432" s="11" t="s">
        <v>1186</v>
      </c>
      <c r="F432" s="52" t="s">
        <v>975</v>
      </c>
      <c r="I432" t="s">
        <v>841</v>
      </c>
      <c r="J432" s="10">
        <v>19126</v>
      </c>
      <c r="K432" s="10">
        <v>45171</v>
      </c>
      <c r="L432" t="s">
        <v>57</v>
      </c>
      <c r="M432" t="s">
        <v>15</v>
      </c>
      <c r="N432" s="107" t="str">
        <f>IF(_xlfn.NUMBERVALUE(DATEDIF(J432,K432,"Y"))-Table1[[#This Row],[Κατηγορία]]&lt;0,"* Check Age *","")</f>
        <v/>
      </c>
    </row>
    <row r="433" spans="1:14" ht="18" hidden="1" customHeight="1" x14ac:dyDescent="0.2">
      <c r="A433" s="9" t="s">
        <v>1155</v>
      </c>
      <c r="B433" s="9" t="s">
        <v>312</v>
      </c>
      <c r="C433" s="12" t="s">
        <v>1264</v>
      </c>
      <c r="D433" s="9">
        <v>500</v>
      </c>
      <c r="E433" s="11" t="s">
        <v>1186</v>
      </c>
      <c r="F433" s="52" t="s">
        <v>739</v>
      </c>
      <c r="I433" t="s">
        <v>740</v>
      </c>
      <c r="J433" s="10">
        <v>14726</v>
      </c>
      <c r="K433" s="11">
        <v>2019</v>
      </c>
      <c r="L433" t="s">
        <v>122</v>
      </c>
      <c r="M433" t="s">
        <v>40</v>
      </c>
      <c r="N433" s="107"/>
    </row>
    <row r="434" spans="1:14" ht="18" hidden="1" customHeight="1" x14ac:dyDescent="0.2">
      <c r="A434" s="9" t="s">
        <v>1155</v>
      </c>
      <c r="B434" s="9" t="s">
        <v>312</v>
      </c>
      <c r="C434" s="12" t="s">
        <v>1265</v>
      </c>
      <c r="D434" s="9">
        <v>400</v>
      </c>
      <c r="E434" s="11" t="s">
        <v>1186</v>
      </c>
      <c r="F434" s="52" t="s">
        <v>1134</v>
      </c>
      <c r="I434" t="s">
        <v>1107</v>
      </c>
      <c r="J434" s="10">
        <v>16283</v>
      </c>
      <c r="K434" s="54">
        <v>45732</v>
      </c>
      <c r="L434" s="1" t="s">
        <v>1132</v>
      </c>
      <c r="M434" s="1" t="s">
        <v>1133</v>
      </c>
      <c r="N434" s="107" t="str">
        <f>IF(_xlfn.NUMBERVALUE(DATEDIF(J434,K434,"Y"))-Table1[[#This Row],[Κατηγορία]]&lt;0,"* Check Age *","")</f>
        <v/>
      </c>
    </row>
    <row r="435" spans="1:14" ht="18" hidden="1" customHeight="1" x14ac:dyDescent="0.2">
      <c r="A435" s="9" t="s">
        <v>1155</v>
      </c>
      <c r="B435" s="9" t="s">
        <v>312</v>
      </c>
      <c r="C435" s="12" t="s">
        <v>1266</v>
      </c>
      <c r="D435" s="9">
        <v>400</v>
      </c>
      <c r="E435" s="11" t="s">
        <v>1186</v>
      </c>
      <c r="F435" s="52" t="s">
        <v>1389</v>
      </c>
      <c r="I435" t="s">
        <v>212</v>
      </c>
      <c r="J435" s="10">
        <v>13492</v>
      </c>
      <c r="K435" s="10">
        <v>45899</v>
      </c>
      <c r="L435" s="1" t="s">
        <v>1409</v>
      </c>
      <c r="M435" s="1" t="s">
        <v>15</v>
      </c>
      <c r="N435" s="107" t="str">
        <f>IF(_xlfn.NUMBERVALUE(DATEDIF(J435,K435,"Y"))-Table1[[#This Row],[Κατηγορία]]&lt;0,"* Check Age *","")</f>
        <v/>
      </c>
    </row>
    <row r="436" spans="1:14" ht="18" hidden="1" customHeight="1" x14ac:dyDescent="0.2">
      <c r="A436" s="9" t="s">
        <v>1155</v>
      </c>
      <c r="B436" s="9" t="s">
        <v>312</v>
      </c>
      <c r="C436" s="12" t="s">
        <v>1267</v>
      </c>
      <c r="D436" s="9">
        <v>400</v>
      </c>
      <c r="E436" s="11" t="s">
        <v>1186</v>
      </c>
      <c r="F436" s="52" t="s">
        <v>336</v>
      </c>
      <c r="I436" t="s">
        <v>337</v>
      </c>
      <c r="J436" s="10">
        <v>9118</v>
      </c>
      <c r="K436" s="10">
        <v>42477</v>
      </c>
      <c r="L436" t="s">
        <v>44</v>
      </c>
      <c r="N436" s="107" t="str">
        <f>IF(_xlfn.NUMBERVALUE(DATEDIF(J436,K436,"Y"))-Table1[[#This Row],[Κατηγορία]]&lt;0,"* Check Age *","")</f>
        <v/>
      </c>
    </row>
    <row r="437" spans="1:14" ht="18" hidden="1" customHeight="1" x14ac:dyDescent="0.2">
      <c r="A437" s="9" t="s">
        <v>1202</v>
      </c>
      <c r="B437" t="s">
        <v>312</v>
      </c>
      <c r="C437" s="23" t="s">
        <v>1256</v>
      </c>
      <c r="D437">
        <v>600</v>
      </c>
      <c r="E437" s="11" t="s">
        <v>1186</v>
      </c>
      <c r="F437" s="57" t="s">
        <v>708</v>
      </c>
      <c r="G437" s="1"/>
      <c r="H437" s="58"/>
      <c r="I437" s="1" t="s">
        <v>694</v>
      </c>
      <c r="J437" s="15">
        <v>25746</v>
      </c>
      <c r="K437" s="15">
        <v>39325</v>
      </c>
      <c r="L437" s="1" t="s">
        <v>709</v>
      </c>
      <c r="M437" s="1" t="s">
        <v>710</v>
      </c>
      <c r="N437" s="107" t="str">
        <f>IF(_xlfn.NUMBERVALUE(DATEDIF(J437,K437,"Y"))-Table1[[#This Row],[Κατηγορία]]&lt;0,"* Check Age *","")</f>
        <v/>
      </c>
    </row>
    <row r="438" spans="1:14" ht="18" hidden="1" customHeight="1" x14ac:dyDescent="0.2">
      <c r="A438" s="9" t="s">
        <v>1202</v>
      </c>
      <c r="B438" t="s">
        <v>312</v>
      </c>
      <c r="C438" s="23" t="s">
        <v>1257</v>
      </c>
      <c r="D438">
        <v>600</v>
      </c>
      <c r="E438" s="11" t="s">
        <v>1186</v>
      </c>
      <c r="F438" s="57" t="s">
        <v>697</v>
      </c>
      <c r="G438" s="1"/>
      <c r="H438" s="58"/>
      <c r="I438" s="1" t="s">
        <v>694</v>
      </c>
      <c r="J438" s="15">
        <v>25746</v>
      </c>
      <c r="K438" s="15">
        <v>41076</v>
      </c>
      <c r="L438" s="1" t="s">
        <v>154</v>
      </c>
      <c r="M438" s="1" t="s">
        <v>155</v>
      </c>
      <c r="N438" s="107" t="str">
        <f>IF(_xlfn.NUMBERVALUE(DATEDIF(J438,K438,"Y"))-Table1[[#This Row],[Κατηγορία]]&lt;0,"* Check Age *","")</f>
        <v/>
      </c>
    </row>
    <row r="439" spans="1:14" ht="18" hidden="1" customHeight="1" x14ac:dyDescent="0.2">
      <c r="A439" s="9" t="s">
        <v>1202</v>
      </c>
      <c r="B439" t="s">
        <v>312</v>
      </c>
      <c r="C439" s="23" t="s">
        <v>1258</v>
      </c>
      <c r="D439">
        <v>600</v>
      </c>
      <c r="E439" s="11" t="s">
        <v>1186</v>
      </c>
      <c r="F439" s="57" t="s">
        <v>698</v>
      </c>
      <c r="G439" s="1"/>
      <c r="H439" s="58"/>
      <c r="I439" s="1" t="s">
        <v>695</v>
      </c>
      <c r="J439" s="15">
        <v>20939</v>
      </c>
      <c r="K439" s="23">
        <v>2004</v>
      </c>
      <c r="L439" s="1" t="s">
        <v>696</v>
      </c>
      <c r="M439" s="1"/>
      <c r="N439" s="107"/>
    </row>
    <row r="440" spans="1:14" ht="18" hidden="1" customHeight="1" x14ac:dyDescent="0.2">
      <c r="A440" s="9" t="s">
        <v>1202</v>
      </c>
      <c r="B440" t="s">
        <v>312</v>
      </c>
      <c r="C440" s="23" t="s">
        <v>1259</v>
      </c>
      <c r="D440">
        <v>500</v>
      </c>
      <c r="E440" s="11" t="s">
        <v>1186</v>
      </c>
      <c r="F440" s="57" t="s">
        <v>852</v>
      </c>
      <c r="G440" s="1"/>
      <c r="H440" s="58"/>
      <c r="I440" s="1" t="s">
        <v>758</v>
      </c>
      <c r="J440" s="15">
        <v>25746</v>
      </c>
      <c r="K440" s="15">
        <v>44808</v>
      </c>
      <c r="L440" s="1" t="s">
        <v>44</v>
      </c>
      <c r="M440" s="1" t="s">
        <v>853</v>
      </c>
      <c r="N440" s="107" t="str">
        <f>IF(_xlfn.NUMBERVALUE(DATEDIF(J440,K440,"Y"))-Table1[[#This Row],[Κατηγορία]]&lt;0,"* Check Age *","")</f>
        <v/>
      </c>
    </row>
    <row r="441" spans="1:14" ht="18" hidden="1" customHeight="1" x14ac:dyDescent="0.2">
      <c r="A441" s="9" t="s">
        <v>1202</v>
      </c>
      <c r="B441" t="s">
        <v>312</v>
      </c>
      <c r="C441" s="23" t="s">
        <v>1259</v>
      </c>
      <c r="D441">
        <v>500</v>
      </c>
      <c r="E441" s="11" t="s">
        <v>1187</v>
      </c>
      <c r="F441" s="57" t="s">
        <v>852</v>
      </c>
      <c r="G441" s="1"/>
      <c r="H441" s="58"/>
      <c r="I441" s="1" t="s">
        <v>758</v>
      </c>
      <c r="J441" s="15">
        <v>25746</v>
      </c>
      <c r="K441" s="13">
        <v>45081</v>
      </c>
      <c r="L441" t="s">
        <v>44</v>
      </c>
      <c r="M441" t="s">
        <v>957</v>
      </c>
      <c r="N441" s="107" t="str">
        <f>IF(_xlfn.NUMBERVALUE(DATEDIF(J441,K441,"Y"))-Table1[[#This Row],[Κατηγορία]]&lt;0,"* Check Age *","")</f>
        <v/>
      </c>
    </row>
    <row r="442" spans="1:14" ht="18" hidden="1" customHeight="1" x14ac:dyDescent="0.2">
      <c r="A442" s="9" t="s">
        <v>1202</v>
      </c>
      <c r="B442" t="s">
        <v>312</v>
      </c>
      <c r="C442" s="23" t="s">
        <v>1260</v>
      </c>
      <c r="D442">
        <v>500</v>
      </c>
      <c r="E442" s="11" t="s">
        <v>1186</v>
      </c>
      <c r="F442" s="57" t="s">
        <v>699</v>
      </c>
      <c r="G442" s="1"/>
      <c r="H442" s="58"/>
      <c r="I442" s="1" t="s">
        <v>1434</v>
      </c>
      <c r="J442" s="15">
        <v>18954</v>
      </c>
      <c r="K442" s="23">
        <v>2006</v>
      </c>
      <c r="L442" s="4" t="s">
        <v>86</v>
      </c>
      <c r="M442" s="1" t="s">
        <v>15</v>
      </c>
      <c r="N442" s="107"/>
    </row>
    <row r="443" spans="1:14" ht="18" hidden="1" customHeight="1" x14ac:dyDescent="0.2">
      <c r="A443" s="9" t="s">
        <v>1202</v>
      </c>
      <c r="B443" t="s">
        <v>312</v>
      </c>
      <c r="C443" s="23" t="s">
        <v>1261</v>
      </c>
      <c r="D443">
        <v>500</v>
      </c>
      <c r="E443" s="11" t="s">
        <v>1186</v>
      </c>
      <c r="F443" s="57" t="s">
        <v>700</v>
      </c>
      <c r="G443" s="1"/>
      <c r="H443" s="58"/>
      <c r="I443" s="1" t="s">
        <v>1434</v>
      </c>
      <c r="J443" s="15">
        <v>18954</v>
      </c>
      <c r="K443" s="23">
        <v>2013</v>
      </c>
      <c r="L443" s="1" t="s">
        <v>215</v>
      </c>
      <c r="M443" s="1" t="s">
        <v>15</v>
      </c>
      <c r="N443" s="107"/>
    </row>
    <row r="444" spans="1:14" ht="18" hidden="1" customHeight="1" x14ac:dyDescent="0.2">
      <c r="A444" s="9" t="s">
        <v>1202</v>
      </c>
      <c r="B444" t="s">
        <v>312</v>
      </c>
      <c r="C444" s="23" t="s">
        <v>1262</v>
      </c>
      <c r="D444">
        <v>500</v>
      </c>
      <c r="E444" s="11" t="s">
        <v>1186</v>
      </c>
      <c r="F444" s="57" t="s">
        <v>701</v>
      </c>
      <c r="G444" s="1"/>
      <c r="H444" s="58"/>
      <c r="I444" s="1" t="s">
        <v>286</v>
      </c>
      <c r="J444" s="15">
        <v>12394</v>
      </c>
      <c r="K444" s="23">
        <v>2001</v>
      </c>
      <c r="L444" s="1" t="s">
        <v>117</v>
      </c>
      <c r="M444" s="1" t="s">
        <v>40</v>
      </c>
      <c r="N444" s="107"/>
    </row>
    <row r="445" spans="1:14" ht="18" hidden="1" customHeight="1" x14ac:dyDescent="0.2">
      <c r="A445" s="9" t="s">
        <v>1202</v>
      </c>
      <c r="B445" t="s">
        <v>312</v>
      </c>
      <c r="C445" s="23" t="s">
        <v>1263</v>
      </c>
      <c r="D445">
        <v>500</v>
      </c>
      <c r="E445" s="11" t="s">
        <v>1186</v>
      </c>
      <c r="F445" s="57" t="s">
        <v>803</v>
      </c>
      <c r="G445" s="1"/>
      <c r="H445" s="58"/>
      <c r="I445" s="1" t="s">
        <v>1434</v>
      </c>
      <c r="J445" s="15">
        <v>18954</v>
      </c>
      <c r="K445" s="15">
        <v>44633</v>
      </c>
      <c r="L445" s="1" t="s">
        <v>804</v>
      </c>
      <c r="M445" s="1" t="s">
        <v>15</v>
      </c>
      <c r="N445" s="107" t="str">
        <f>IF(_xlfn.NUMBERVALUE(DATEDIF(J445,K445,"Y"))-Table1[[#This Row],[Κατηγορία]]&lt;0,"* Check Age *","")</f>
        <v/>
      </c>
    </row>
    <row r="446" spans="1:14" ht="18" hidden="1" customHeight="1" x14ac:dyDescent="0.2">
      <c r="A446" s="9" t="s">
        <v>1202</v>
      </c>
      <c r="B446" t="s">
        <v>312</v>
      </c>
      <c r="C446" s="23" t="s">
        <v>1264</v>
      </c>
      <c r="E446" s="11" t="s">
        <v>1186</v>
      </c>
      <c r="F446" s="57" t="s">
        <v>1367</v>
      </c>
      <c r="G446" s="1"/>
      <c r="H446" s="58"/>
      <c r="I446" s="1" t="s">
        <v>963</v>
      </c>
      <c r="J446" s="15">
        <v>17624</v>
      </c>
      <c r="K446" s="15">
        <v>45809</v>
      </c>
      <c r="L446" s="1" t="s">
        <v>1273</v>
      </c>
      <c r="M446" s="1" t="s">
        <v>1271</v>
      </c>
      <c r="N446" s="107" t="str">
        <f>IF(_xlfn.NUMBERVALUE(DATEDIF(J446,K446,"Y"))-Table1[[#This Row],[Κατηγορία]]&lt;0,"* Check Age *","")</f>
        <v/>
      </c>
    </row>
    <row r="447" spans="1:14" ht="18" hidden="1" customHeight="1" x14ac:dyDescent="0.2">
      <c r="A447" s="9" t="s">
        <v>1155</v>
      </c>
      <c r="B447" s="9" t="s">
        <v>1175</v>
      </c>
      <c r="C447" s="12" t="s">
        <v>1256</v>
      </c>
      <c r="D447" s="9"/>
      <c r="E447" s="11" t="s">
        <v>1186</v>
      </c>
      <c r="F447" s="52" t="s">
        <v>519</v>
      </c>
      <c r="G447" s="61"/>
      <c r="I447" t="s">
        <v>247</v>
      </c>
      <c r="J447" s="62"/>
      <c r="K447" s="10">
        <v>43002</v>
      </c>
      <c r="L447" s="61" t="s">
        <v>63</v>
      </c>
      <c r="M447" s="1" t="s">
        <v>15</v>
      </c>
      <c r="N447" s="107" t="str">
        <f>IF(_xlfn.NUMBERVALUE(DATEDIF(J447,K447,"Y"))-Table1[[#This Row],[Κατηγορία]]&lt;0,"* Check Age *","")</f>
        <v/>
      </c>
    </row>
    <row r="448" spans="1:14" ht="18" hidden="1" customHeight="1" x14ac:dyDescent="0.2">
      <c r="A448" s="9" t="s">
        <v>1155</v>
      </c>
      <c r="B448" s="9" t="s">
        <v>1175</v>
      </c>
      <c r="C448" s="12" t="s">
        <v>1256</v>
      </c>
      <c r="D448" s="9"/>
      <c r="E448" s="11" t="s">
        <v>1186</v>
      </c>
      <c r="F448" s="63"/>
      <c r="G448" s="2"/>
      <c r="I448" t="s">
        <v>260</v>
      </c>
      <c r="J448" s="62"/>
      <c r="K448" s="64"/>
      <c r="L448" s="2"/>
      <c r="M448" s="2"/>
      <c r="N448" s="107"/>
    </row>
    <row r="449" spans="1:14" ht="18" hidden="1" customHeight="1" x14ac:dyDescent="0.2">
      <c r="A449" s="9" t="s">
        <v>1155</v>
      </c>
      <c r="B449" s="9" t="s">
        <v>1175</v>
      </c>
      <c r="C449" s="12" t="s">
        <v>1256</v>
      </c>
      <c r="D449" s="9"/>
      <c r="E449" s="11" t="s">
        <v>1186</v>
      </c>
      <c r="F449" s="63"/>
      <c r="G449" s="2"/>
      <c r="I449" t="s">
        <v>509</v>
      </c>
      <c r="J449" s="62"/>
      <c r="K449" s="64"/>
      <c r="L449" s="2"/>
      <c r="M449" s="2"/>
      <c r="N449" s="107"/>
    </row>
    <row r="450" spans="1:14" ht="18" hidden="1" customHeight="1" x14ac:dyDescent="0.2">
      <c r="A450" s="9" t="s">
        <v>1155</v>
      </c>
      <c r="B450" s="9" t="s">
        <v>1175</v>
      </c>
      <c r="C450" s="12" t="s">
        <v>1256</v>
      </c>
      <c r="D450" s="9"/>
      <c r="E450" s="11" t="s">
        <v>1186</v>
      </c>
      <c r="F450" s="63"/>
      <c r="G450" s="2"/>
      <c r="I450" t="s">
        <v>268</v>
      </c>
      <c r="J450" s="62"/>
      <c r="K450" s="64"/>
      <c r="L450" s="2"/>
      <c r="M450" s="2"/>
      <c r="N450" s="107"/>
    </row>
    <row r="451" spans="1:14" ht="18" hidden="1" customHeight="1" x14ac:dyDescent="0.2">
      <c r="A451" s="9" t="s">
        <v>1155</v>
      </c>
      <c r="B451" s="9" t="s">
        <v>1175</v>
      </c>
      <c r="C451" s="12" t="s">
        <v>1257</v>
      </c>
      <c r="D451" s="9"/>
      <c r="E451" s="11" t="s">
        <v>1186</v>
      </c>
      <c r="F451" s="52" t="s">
        <v>520</v>
      </c>
      <c r="G451" s="61"/>
      <c r="I451" t="s">
        <v>248</v>
      </c>
      <c r="J451" s="62"/>
      <c r="K451" s="10">
        <v>40790</v>
      </c>
      <c r="L451" t="s">
        <v>255</v>
      </c>
      <c r="M451" t="s">
        <v>15</v>
      </c>
      <c r="N451" s="107" t="str">
        <f>IF(_xlfn.NUMBERVALUE(DATEDIF(J451,K451,"Y"))-Table1[[#This Row],[Κατηγορία]]&lt;0,"* Check Age *","")</f>
        <v/>
      </c>
    </row>
    <row r="452" spans="1:14" ht="18" hidden="1" customHeight="1" x14ac:dyDescent="0.2">
      <c r="A452" s="9" t="s">
        <v>1155</v>
      </c>
      <c r="B452" s="9" t="s">
        <v>1175</v>
      </c>
      <c r="C452" s="12" t="s">
        <v>1257</v>
      </c>
      <c r="D452" s="9"/>
      <c r="E452" s="11" t="s">
        <v>1186</v>
      </c>
      <c r="F452" s="63"/>
      <c r="G452" s="2"/>
      <c r="I452" t="s">
        <v>249</v>
      </c>
      <c r="J452" s="62"/>
      <c r="K452" s="64"/>
      <c r="L452" s="2"/>
      <c r="M452" s="2"/>
      <c r="N452" s="107"/>
    </row>
    <row r="453" spans="1:14" ht="18" hidden="1" customHeight="1" x14ac:dyDescent="0.2">
      <c r="A453" s="9" t="s">
        <v>1155</v>
      </c>
      <c r="B453" s="9" t="s">
        <v>1175</v>
      </c>
      <c r="C453" s="12" t="s">
        <v>1257</v>
      </c>
      <c r="D453" s="9"/>
      <c r="E453" s="11" t="s">
        <v>1186</v>
      </c>
      <c r="F453" s="63"/>
      <c r="G453" s="2"/>
      <c r="I453" t="s">
        <v>256</v>
      </c>
      <c r="J453" s="62"/>
      <c r="K453" s="64"/>
      <c r="L453" s="2"/>
      <c r="M453" s="2"/>
      <c r="N453" s="107"/>
    </row>
    <row r="454" spans="1:14" ht="18" hidden="1" customHeight="1" x14ac:dyDescent="0.2">
      <c r="A454" s="9" t="s">
        <v>1155</v>
      </c>
      <c r="B454" s="9" t="s">
        <v>1175</v>
      </c>
      <c r="C454" s="12" t="s">
        <v>1257</v>
      </c>
      <c r="D454" s="9"/>
      <c r="E454" s="11" t="s">
        <v>1186</v>
      </c>
      <c r="F454" s="63"/>
      <c r="G454" s="2"/>
      <c r="I454" t="s">
        <v>257</v>
      </c>
      <c r="J454" s="62"/>
      <c r="K454" s="64"/>
      <c r="L454" s="2"/>
      <c r="M454" s="2"/>
      <c r="N454" s="107"/>
    </row>
    <row r="455" spans="1:14" ht="18" hidden="1" customHeight="1" x14ac:dyDescent="0.2">
      <c r="A455" s="9" t="s">
        <v>1155</v>
      </c>
      <c r="B455" s="9" t="s">
        <v>1175</v>
      </c>
      <c r="C455" s="12" t="s">
        <v>1258</v>
      </c>
      <c r="D455" s="9"/>
      <c r="E455" s="11" t="s">
        <v>1186</v>
      </c>
      <c r="F455" s="52" t="s">
        <v>856</v>
      </c>
      <c r="G455" s="61"/>
      <c r="I455" t="s">
        <v>264</v>
      </c>
      <c r="K455" s="10">
        <v>44827</v>
      </c>
      <c r="L455" t="s">
        <v>95</v>
      </c>
      <c r="M455" t="s">
        <v>15</v>
      </c>
      <c r="N455" s="107" t="str">
        <f>IF(_xlfn.NUMBERVALUE(DATEDIF(J455,K455,"Y"))-Table1[[#This Row],[Κατηγορία]]&lt;0,"* Check Age *","")</f>
        <v/>
      </c>
    </row>
    <row r="456" spans="1:14" ht="18" hidden="1" customHeight="1" x14ac:dyDescent="0.2">
      <c r="A456" s="9" t="s">
        <v>1155</v>
      </c>
      <c r="B456" s="9" t="s">
        <v>1175</v>
      </c>
      <c r="C456" s="12" t="s">
        <v>1258</v>
      </c>
      <c r="D456" s="9"/>
      <c r="E456" s="11" t="s">
        <v>1186</v>
      </c>
      <c r="F456" s="63"/>
      <c r="G456" s="2"/>
      <c r="I456" t="s">
        <v>859</v>
      </c>
      <c r="N456" s="107"/>
    </row>
    <row r="457" spans="1:14" ht="18" hidden="1" customHeight="1" x14ac:dyDescent="0.2">
      <c r="A457" s="9" t="s">
        <v>1155</v>
      </c>
      <c r="B457" s="9" t="s">
        <v>1175</v>
      </c>
      <c r="C457" s="12" t="s">
        <v>1258</v>
      </c>
      <c r="D457" s="9"/>
      <c r="E457" s="11" t="s">
        <v>1186</v>
      </c>
      <c r="F457" s="63"/>
      <c r="G457" s="2"/>
      <c r="I457" t="s">
        <v>857</v>
      </c>
      <c r="N457" s="107"/>
    </row>
    <row r="458" spans="1:14" ht="18" hidden="1" customHeight="1" x14ac:dyDescent="0.2">
      <c r="A458" s="9" t="s">
        <v>1155</v>
      </c>
      <c r="B458" s="9" t="s">
        <v>1175</v>
      </c>
      <c r="C458" s="12" t="s">
        <v>1258</v>
      </c>
      <c r="D458" s="9"/>
      <c r="E458" s="11" t="s">
        <v>1186</v>
      </c>
      <c r="F458" s="63"/>
      <c r="G458" s="2"/>
      <c r="I458" t="s">
        <v>858</v>
      </c>
      <c r="N458" s="107"/>
    </row>
    <row r="459" spans="1:14" ht="18" hidden="1" customHeight="1" x14ac:dyDescent="0.2">
      <c r="A459" s="9" t="s">
        <v>1155</v>
      </c>
      <c r="B459" s="9" t="s">
        <v>1175</v>
      </c>
      <c r="C459" s="12" t="s">
        <v>1259</v>
      </c>
      <c r="D459" s="9"/>
      <c r="E459" s="11" t="s">
        <v>1186</v>
      </c>
      <c r="F459" s="52" t="s">
        <v>521</v>
      </c>
      <c r="I459" t="s">
        <v>491</v>
      </c>
      <c r="K459" s="10">
        <v>43730</v>
      </c>
      <c r="L459" t="s">
        <v>35</v>
      </c>
      <c r="M459" t="s">
        <v>15</v>
      </c>
      <c r="N459" s="107" t="str">
        <f>IF(_xlfn.NUMBERVALUE(DATEDIF(J459,K459,"Y"))-Table1[[#This Row],[Κατηγορία]]&lt;0,"* Check Age *","")</f>
        <v/>
      </c>
    </row>
    <row r="460" spans="1:14" ht="18" hidden="1" customHeight="1" x14ac:dyDescent="0.2">
      <c r="A460" s="9" t="s">
        <v>1155</v>
      </c>
      <c r="B460" s="9" t="s">
        <v>1175</v>
      </c>
      <c r="C460" s="12" t="s">
        <v>1259</v>
      </c>
      <c r="D460" s="9"/>
      <c r="E460" s="11" t="s">
        <v>1186</v>
      </c>
      <c r="I460" t="s">
        <v>561</v>
      </c>
      <c r="N460" s="107"/>
    </row>
    <row r="461" spans="1:14" ht="18" hidden="1" customHeight="1" x14ac:dyDescent="0.2">
      <c r="A461" s="9" t="s">
        <v>1155</v>
      </c>
      <c r="B461" s="9" t="s">
        <v>1175</v>
      </c>
      <c r="C461" s="12" t="s">
        <v>1259</v>
      </c>
      <c r="D461" s="9"/>
      <c r="E461" s="11" t="s">
        <v>1186</v>
      </c>
      <c r="I461" t="s">
        <v>269</v>
      </c>
      <c r="N461" s="107"/>
    </row>
    <row r="462" spans="1:14" ht="18" hidden="1" customHeight="1" x14ac:dyDescent="0.2">
      <c r="A462" s="9" t="s">
        <v>1155</v>
      </c>
      <c r="B462" s="9" t="s">
        <v>1175</v>
      </c>
      <c r="C462" s="12" t="s">
        <v>1259</v>
      </c>
      <c r="D462" s="9"/>
      <c r="E462" s="11" t="s">
        <v>1186</v>
      </c>
      <c r="I462" t="s">
        <v>257</v>
      </c>
      <c r="N462" s="107"/>
    </row>
    <row r="463" spans="1:14" ht="18" hidden="1" customHeight="1" x14ac:dyDescent="0.2">
      <c r="A463" s="9" t="s">
        <v>1155</v>
      </c>
      <c r="B463" s="9" t="s">
        <v>1175</v>
      </c>
      <c r="C463" s="12" t="s">
        <v>1260</v>
      </c>
      <c r="D463" s="9"/>
      <c r="E463" s="11" t="s">
        <v>1186</v>
      </c>
      <c r="F463" s="52" t="s">
        <v>522</v>
      </c>
      <c r="I463" t="s">
        <v>493</v>
      </c>
      <c r="K463" s="10">
        <v>43002</v>
      </c>
      <c r="L463" s="61" t="s">
        <v>63</v>
      </c>
      <c r="M463" s="1" t="s">
        <v>15</v>
      </c>
      <c r="N463" s="107" t="str">
        <f>IF(_xlfn.NUMBERVALUE(DATEDIF(J463,K463,"Y"))-Table1[[#This Row],[Κατηγορία]]&lt;0,"* Check Age *","")</f>
        <v/>
      </c>
    </row>
    <row r="464" spans="1:14" ht="18" hidden="1" customHeight="1" x14ac:dyDescent="0.2">
      <c r="A464" s="9" t="s">
        <v>1155</v>
      </c>
      <c r="B464" s="9" t="s">
        <v>1175</v>
      </c>
      <c r="C464" s="12" t="s">
        <v>1260</v>
      </c>
      <c r="D464" s="9"/>
      <c r="E464" s="11" t="s">
        <v>1186</v>
      </c>
      <c r="I464" t="s">
        <v>723</v>
      </c>
      <c r="N464" s="107"/>
    </row>
    <row r="465" spans="1:18" ht="18" hidden="1" customHeight="1" x14ac:dyDescent="0.2">
      <c r="A465" s="9" t="s">
        <v>1155</v>
      </c>
      <c r="B465" s="9" t="s">
        <v>1175</v>
      </c>
      <c r="C465" s="12" t="s">
        <v>1260</v>
      </c>
      <c r="D465" s="9"/>
      <c r="E465" s="11" t="s">
        <v>1186</v>
      </c>
      <c r="I465" t="s">
        <v>497</v>
      </c>
      <c r="N465" s="107"/>
    </row>
    <row r="466" spans="1:18" ht="18" hidden="1" customHeight="1" x14ac:dyDescent="0.2">
      <c r="A466" s="9" t="s">
        <v>1155</v>
      </c>
      <c r="B466" s="9" t="s">
        <v>1175</v>
      </c>
      <c r="C466" s="12" t="s">
        <v>1260</v>
      </c>
      <c r="D466" s="9"/>
      <c r="E466" s="11" t="s">
        <v>1186</v>
      </c>
      <c r="I466" t="s">
        <v>523</v>
      </c>
      <c r="N466" s="107"/>
    </row>
    <row r="467" spans="1:18" ht="18" hidden="1" customHeight="1" x14ac:dyDescent="0.2">
      <c r="A467" s="9" t="s">
        <v>1155</v>
      </c>
      <c r="B467" s="9" t="s">
        <v>1175</v>
      </c>
      <c r="C467" s="12" t="s">
        <v>1261</v>
      </c>
      <c r="D467" s="9"/>
      <c r="E467" s="11" t="s">
        <v>1186</v>
      </c>
      <c r="F467" s="52" t="s">
        <v>528</v>
      </c>
      <c r="I467" t="s">
        <v>529</v>
      </c>
      <c r="K467" s="10">
        <v>43240</v>
      </c>
      <c r="L467" t="s">
        <v>44</v>
      </c>
      <c r="M467" t="s">
        <v>490</v>
      </c>
      <c r="N467" s="107" t="str">
        <f>IF(_xlfn.NUMBERVALUE(DATEDIF(J467,K467,"Y"))-Table1[[#This Row],[Κατηγορία]]&lt;0,"* Check Age *","")</f>
        <v/>
      </c>
    </row>
    <row r="468" spans="1:18" ht="18" hidden="1" customHeight="1" x14ac:dyDescent="0.2">
      <c r="A468" s="9" t="s">
        <v>1155</v>
      </c>
      <c r="B468" s="9" t="s">
        <v>1175</v>
      </c>
      <c r="C468" s="12" t="s">
        <v>1261</v>
      </c>
      <c r="D468" s="9"/>
      <c r="E468" s="11" t="s">
        <v>1186</v>
      </c>
      <c r="I468" t="s">
        <v>723</v>
      </c>
      <c r="N468" s="107"/>
    </row>
    <row r="469" spans="1:18" ht="18" hidden="1" customHeight="1" x14ac:dyDescent="0.2">
      <c r="A469" s="9" t="s">
        <v>1155</v>
      </c>
      <c r="B469" s="9" t="s">
        <v>1175</v>
      </c>
      <c r="C469" s="12" t="s">
        <v>1261</v>
      </c>
      <c r="D469" s="9"/>
      <c r="E469" s="11" t="s">
        <v>1186</v>
      </c>
      <c r="I469" t="s">
        <v>724</v>
      </c>
      <c r="N469" s="107"/>
    </row>
    <row r="470" spans="1:18" ht="18" hidden="1" customHeight="1" x14ac:dyDescent="0.2">
      <c r="A470" s="9" t="s">
        <v>1155</v>
      </c>
      <c r="B470" s="9" t="s">
        <v>1175</v>
      </c>
      <c r="C470" s="12" t="s">
        <v>1261</v>
      </c>
      <c r="D470" s="9"/>
      <c r="E470" s="11" t="s">
        <v>1186</v>
      </c>
      <c r="I470" t="s">
        <v>511</v>
      </c>
      <c r="N470" s="107"/>
    </row>
    <row r="471" spans="1:18" ht="18" hidden="1" customHeight="1" x14ac:dyDescent="0.2">
      <c r="A471" s="9" t="s">
        <v>1155</v>
      </c>
      <c r="B471" s="9" t="s">
        <v>1175</v>
      </c>
      <c r="C471" s="12" t="s">
        <v>1262</v>
      </c>
      <c r="D471" s="9"/>
      <c r="E471" s="11" t="s">
        <v>1186</v>
      </c>
      <c r="F471" s="52" t="s">
        <v>527</v>
      </c>
      <c r="I471" t="s">
        <v>500</v>
      </c>
      <c r="K471" s="10">
        <v>43730</v>
      </c>
      <c r="L471" t="s">
        <v>35</v>
      </c>
      <c r="M471" t="s">
        <v>15</v>
      </c>
      <c r="N471" s="107" t="str">
        <f>IF(_xlfn.NUMBERVALUE(DATEDIF(J471,K471,"Y"))-Table1[[#This Row],[Κατηγορία]]&lt;0,"* Check Age *","")</f>
        <v/>
      </c>
    </row>
    <row r="472" spans="1:18" ht="18" hidden="1" customHeight="1" x14ac:dyDescent="0.2">
      <c r="A472" s="9" t="s">
        <v>1155</v>
      </c>
      <c r="B472" s="9" t="s">
        <v>1175</v>
      </c>
      <c r="C472" s="12" t="s">
        <v>1262</v>
      </c>
      <c r="D472" s="9"/>
      <c r="E472" s="11" t="s">
        <v>1186</v>
      </c>
      <c r="I472" t="s">
        <v>492</v>
      </c>
      <c r="N472" s="107"/>
    </row>
    <row r="473" spans="1:18" ht="18" hidden="1" customHeight="1" x14ac:dyDescent="0.2">
      <c r="A473" s="9" t="s">
        <v>1155</v>
      </c>
      <c r="B473" s="9" t="s">
        <v>1175</v>
      </c>
      <c r="C473" s="12" t="s">
        <v>1262</v>
      </c>
      <c r="D473" s="9"/>
      <c r="E473" s="11" t="s">
        <v>1186</v>
      </c>
      <c r="I473" t="s">
        <v>499</v>
      </c>
      <c r="N473" s="107"/>
    </row>
    <row r="474" spans="1:18" ht="18" hidden="1" customHeight="1" x14ac:dyDescent="0.2">
      <c r="A474" s="9" t="s">
        <v>1155</v>
      </c>
      <c r="B474" s="9" t="s">
        <v>1175</v>
      </c>
      <c r="C474" s="12" t="s">
        <v>1262</v>
      </c>
      <c r="D474" s="9"/>
      <c r="E474" s="11" t="s">
        <v>1186</v>
      </c>
      <c r="I474" t="s">
        <v>501</v>
      </c>
      <c r="N474" s="107"/>
    </row>
    <row r="475" spans="1:18" ht="18" hidden="1" customHeight="1" x14ac:dyDescent="0.2">
      <c r="A475" s="9" t="s">
        <v>1155</v>
      </c>
      <c r="B475" s="9" t="s">
        <v>1175</v>
      </c>
      <c r="C475" s="12" t="s">
        <v>1263</v>
      </c>
      <c r="D475" s="9"/>
      <c r="E475" s="11" t="s">
        <v>1186</v>
      </c>
      <c r="F475" s="52" t="s">
        <v>524</v>
      </c>
      <c r="I475" t="s">
        <v>517</v>
      </c>
      <c r="K475" s="10">
        <v>43240</v>
      </c>
      <c r="L475" t="s">
        <v>44</v>
      </c>
      <c r="M475" t="s">
        <v>490</v>
      </c>
      <c r="N475" s="107" t="str">
        <f>IF(_xlfn.NUMBERVALUE(DATEDIF(J475,K475,"Y"))-Table1[[#This Row],[Κατηγορία]]&lt;0,"* Check Age *","")</f>
        <v/>
      </c>
    </row>
    <row r="476" spans="1:18" ht="18" hidden="1" customHeight="1" x14ac:dyDescent="0.2">
      <c r="A476" s="9" t="s">
        <v>1155</v>
      </c>
      <c r="B476" s="9" t="s">
        <v>1175</v>
      </c>
      <c r="C476" s="12" t="s">
        <v>1263</v>
      </c>
      <c r="D476" s="9"/>
      <c r="E476" s="11" t="s">
        <v>1186</v>
      </c>
      <c r="I476" t="s">
        <v>722</v>
      </c>
      <c r="N476" s="107"/>
      <c r="P476" s="1" t="s">
        <v>567</v>
      </c>
      <c r="Q476" s="1" t="s">
        <v>15</v>
      </c>
      <c r="R476" s="29">
        <v>45815</v>
      </c>
    </row>
    <row r="477" spans="1:18" ht="18" hidden="1" customHeight="1" x14ac:dyDescent="0.2">
      <c r="A477" s="9" t="s">
        <v>1155</v>
      </c>
      <c r="B477" s="9" t="s">
        <v>1175</v>
      </c>
      <c r="C477" s="12" t="s">
        <v>1263</v>
      </c>
      <c r="D477" s="9"/>
      <c r="E477" s="11" t="s">
        <v>1186</v>
      </c>
      <c r="I477" t="s">
        <v>525</v>
      </c>
      <c r="N477" s="107"/>
    </row>
    <row r="478" spans="1:18" ht="18" hidden="1" customHeight="1" x14ac:dyDescent="0.2">
      <c r="A478" s="9" t="s">
        <v>1155</v>
      </c>
      <c r="B478" s="9" t="s">
        <v>1175</v>
      </c>
      <c r="C478" s="12" t="s">
        <v>1263</v>
      </c>
      <c r="D478" s="9"/>
      <c r="E478" s="11" t="s">
        <v>1186</v>
      </c>
      <c r="I478" t="s">
        <v>526</v>
      </c>
      <c r="N478" s="107"/>
    </row>
    <row r="479" spans="1:18" ht="18" hidden="1" customHeight="1" x14ac:dyDescent="0.2">
      <c r="A479" s="9" t="s">
        <v>1155</v>
      </c>
      <c r="B479" s="9" t="s">
        <v>1175</v>
      </c>
      <c r="C479" s="12" t="s">
        <v>1264</v>
      </c>
      <c r="D479" s="9"/>
      <c r="E479" s="11" t="s">
        <v>1186</v>
      </c>
      <c r="F479" s="52" t="s">
        <v>899</v>
      </c>
      <c r="I479" t="s">
        <v>722</v>
      </c>
      <c r="K479" s="10">
        <v>44827</v>
      </c>
      <c r="L479" t="s">
        <v>95</v>
      </c>
      <c r="M479" t="s">
        <v>15</v>
      </c>
      <c r="N479" s="107" t="str">
        <f>IF(_xlfn.NUMBERVALUE(DATEDIF(J479,K479,"Y"))-Table1[[#This Row],[Κατηγορία]]&lt;0,"* Check Age *","")</f>
        <v/>
      </c>
    </row>
    <row r="480" spans="1:18" ht="18" hidden="1" customHeight="1" x14ac:dyDescent="0.2">
      <c r="A480" s="9" t="s">
        <v>1155</v>
      </c>
      <c r="B480" s="9" t="s">
        <v>1175</v>
      </c>
      <c r="C480" s="12" t="s">
        <v>1264</v>
      </c>
      <c r="D480" s="9"/>
      <c r="E480" s="11" t="s">
        <v>1186</v>
      </c>
      <c r="I480" t="s">
        <v>517</v>
      </c>
      <c r="N480" s="107"/>
    </row>
    <row r="481" spans="1:14" ht="18" hidden="1" customHeight="1" x14ac:dyDescent="0.2">
      <c r="A481" s="9" t="s">
        <v>1155</v>
      </c>
      <c r="B481" s="9" t="s">
        <v>1175</v>
      </c>
      <c r="C481" s="12" t="s">
        <v>1264</v>
      </c>
      <c r="D481" s="9"/>
      <c r="E481" s="11" t="s">
        <v>1186</v>
      </c>
      <c r="I481" t="s">
        <v>525</v>
      </c>
      <c r="N481" s="107"/>
    </row>
    <row r="482" spans="1:14" ht="18" hidden="1" customHeight="1" x14ac:dyDescent="0.2">
      <c r="A482" s="9" t="s">
        <v>1155</v>
      </c>
      <c r="B482" s="9" t="s">
        <v>1175</v>
      </c>
      <c r="C482" s="12" t="s">
        <v>1264</v>
      </c>
      <c r="D482" s="9"/>
      <c r="E482" s="11" t="s">
        <v>1186</v>
      </c>
      <c r="I482" t="s">
        <v>897</v>
      </c>
      <c r="N482" s="107"/>
    </row>
    <row r="483" spans="1:14" ht="18" hidden="1" customHeight="1" x14ac:dyDescent="0.2">
      <c r="A483" s="9" t="s">
        <v>1202</v>
      </c>
      <c r="B483" t="s">
        <v>1175</v>
      </c>
      <c r="C483" s="23" t="s">
        <v>1256</v>
      </c>
      <c r="E483" s="11" t="s">
        <v>1186</v>
      </c>
      <c r="F483" s="57" t="s">
        <v>653</v>
      </c>
      <c r="G483" s="4"/>
      <c r="H483" s="90"/>
      <c r="I483" s="1" t="s">
        <v>654</v>
      </c>
      <c r="J483" s="23"/>
      <c r="K483" s="15">
        <v>42265</v>
      </c>
      <c r="L483" s="1" t="s">
        <v>95</v>
      </c>
      <c r="M483" s="1" t="s">
        <v>15</v>
      </c>
      <c r="N483" s="107" t="str">
        <f>IF(_xlfn.NUMBERVALUE(DATEDIF(J483,K483,"Y"))-Table1[[#This Row],[Κατηγορία]]&lt;0,"* Check Age *","")</f>
        <v/>
      </c>
    </row>
    <row r="484" spans="1:14" ht="18" hidden="1" customHeight="1" x14ac:dyDescent="0.2">
      <c r="A484" s="9" t="s">
        <v>1202</v>
      </c>
      <c r="B484" t="s">
        <v>1175</v>
      </c>
      <c r="C484" s="23" t="s">
        <v>1256</v>
      </c>
      <c r="E484" s="11" t="s">
        <v>1186</v>
      </c>
      <c r="F484" s="71"/>
      <c r="G484" s="69"/>
      <c r="H484" s="90"/>
      <c r="I484" s="1" t="s">
        <v>769</v>
      </c>
      <c r="J484" s="70"/>
      <c r="K484" s="69"/>
      <c r="L484" s="69"/>
      <c r="M484" s="69"/>
      <c r="N484" s="107"/>
    </row>
    <row r="485" spans="1:14" ht="18" hidden="1" customHeight="1" x14ac:dyDescent="0.2">
      <c r="A485" s="9" t="s">
        <v>1202</v>
      </c>
      <c r="B485" t="s">
        <v>1175</v>
      </c>
      <c r="C485" s="23" t="s">
        <v>1256</v>
      </c>
      <c r="E485" s="11" t="s">
        <v>1186</v>
      </c>
      <c r="F485" s="71"/>
      <c r="G485" s="69"/>
      <c r="H485" s="90"/>
      <c r="I485" s="1" t="s">
        <v>633</v>
      </c>
      <c r="J485" s="70"/>
      <c r="K485" s="69"/>
      <c r="L485" s="69"/>
      <c r="M485" s="69"/>
      <c r="N485" s="107"/>
    </row>
    <row r="486" spans="1:14" ht="18" hidden="1" customHeight="1" x14ac:dyDescent="0.2">
      <c r="A486" s="9" t="s">
        <v>1202</v>
      </c>
      <c r="B486" t="s">
        <v>1175</v>
      </c>
      <c r="C486" s="23" t="s">
        <v>1256</v>
      </c>
      <c r="E486" s="11" t="s">
        <v>1186</v>
      </c>
      <c r="F486" s="71"/>
      <c r="G486" s="69"/>
      <c r="H486" s="90"/>
      <c r="I486" s="72" t="s">
        <v>655</v>
      </c>
      <c r="J486" s="70"/>
      <c r="K486" s="69"/>
      <c r="L486" s="69"/>
      <c r="M486" s="69"/>
      <c r="N486" s="107"/>
    </row>
    <row r="487" spans="1:14" ht="18" hidden="1" customHeight="1" x14ac:dyDescent="0.2">
      <c r="A487" s="9" t="s">
        <v>1202</v>
      </c>
      <c r="B487" t="s">
        <v>1175</v>
      </c>
      <c r="C487" s="23" t="s">
        <v>1257</v>
      </c>
      <c r="E487" s="11" t="s">
        <v>1186</v>
      </c>
      <c r="F487" s="57" t="s">
        <v>862</v>
      </c>
      <c r="G487" s="1"/>
      <c r="H487" s="58"/>
      <c r="I487" s="1" t="s">
        <v>654</v>
      </c>
      <c r="J487" s="23"/>
      <c r="K487" s="15">
        <v>44829</v>
      </c>
      <c r="L487" s="1" t="s">
        <v>95</v>
      </c>
      <c r="M487" s="1" t="s">
        <v>15</v>
      </c>
      <c r="N487" s="107" t="str">
        <f>IF(_xlfn.NUMBERVALUE(DATEDIF(J487,K487,"Y"))-Table1[[#This Row],[Κατηγορία]]&lt;0,"* Check Age *","")</f>
        <v/>
      </c>
    </row>
    <row r="488" spans="1:14" ht="18" hidden="1" customHeight="1" x14ac:dyDescent="0.2">
      <c r="A488" s="9" t="s">
        <v>1202</v>
      </c>
      <c r="B488" t="s">
        <v>1175</v>
      </c>
      <c r="C488" s="23" t="s">
        <v>1257</v>
      </c>
      <c r="E488" s="11" t="s">
        <v>1186</v>
      </c>
      <c r="F488" s="57"/>
      <c r="G488" s="1"/>
      <c r="H488" s="58"/>
      <c r="I488" s="1" t="s">
        <v>863</v>
      </c>
      <c r="J488" s="23"/>
      <c r="K488" s="23"/>
      <c r="L488" s="1"/>
      <c r="M488" s="1"/>
      <c r="N488" s="107"/>
    </row>
    <row r="489" spans="1:14" ht="18" hidden="1" customHeight="1" x14ac:dyDescent="0.2">
      <c r="A489" s="9" t="s">
        <v>1202</v>
      </c>
      <c r="B489" t="s">
        <v>1175</v>
      </c>
      <c r="C489" s="23" t="s">
        <v>1257</v>
      </c>
      <c r="E489" s="11" t="s">
        <v>1186</v>
      </c>
      <c r="F489" s="57"/>
      <c r="G489" s="1"/>
      <c r="H489" s="58"/>
      <c r="I489" s="1" t="s">
        <v>769</v>
      </c>
      <c r="J489" s="23"/>
      <c r="K489" s="23"/>
      <c r="L489" s="1"/>
      <c r="M489" s="1"/>
      <c r="N489" s="107"/>
    </row>
    <row r="490" spans="1:14" ht="18" hidden="1" customHeight="1" x14ac:dyDescent="0.2">
      <c r="A490" s="9" t="s">
        <v>1202</v>
      </c>
      <c r="B490" t="s">
        <v>1175</v>
      </c>
      <c r="C490" s="23" t="s">
        <v>1257</v>
      </c>
      <c r="E490" s="11" t="s">
        <v>1186</v>
      </c>
      <c r="F490" s="57"/>
      <c r="G490" s="1"/>
      <c r="H490" s="58"/>
      <c r="I490" s="1" t="s">
        <v>641</v>
      </c>
      <c r="J490" s="23"/>
      <c r="K490" s="23"/>
      <c r="L490" s="1"/>
      <c r="M490" s="1"/>
      <c r="N490" s="107"/>
    </row>
    <row r="491" spans="1:14" ht="18" hidden="1" customHeight="1" x14ac:dyDescent="0.2">
      <c r="A491" s="9" t="s">
        <v>1202</v>
      </c>
      <c r="B491" t="s">
        <v>1175</v>
      </c>
      <c r="C491" s="23" t="s">
        <v>1258</v>
      </c>
      <c r="E491" s="11" t="s">
        <v>1186</v>
      </c>
      <c r="F491" s="57" t="s">
        <v>656</v>
      </c>
      <c r="G491" s="1"/>
      <c r="H491" s="58"/>
      <c r="I491" s="1" t="s">
        <v>639</v>
      </c>
      <c r="J491" s="23"/>
      <c r="K491" s="15">
        <v>43731</v>
      </c>
      <c r="L491" s="1" t="s">
        <v>73</v>
      </c>
      <c r="M491" s="1" t="s">
        <v>15</v>
      </c>
      <c r="N491" s="107" t="str">
        <f>IF(_xlfn.NUMBERVALUE(DATEDIF(J491,K491,"Y"))-Table1[[#This Row],[Κατηγορία]]&lt;0,"* Check Age *","")</f>
        <v/>
      </c>
    </row>
    <row r="492" spans="1:14" ht="18" hidden="1" customHeight="1" x14ac:dyDescent="0.2">
      <c r="A492" s="9" t="s">
        <v>1202</v>
      </c>
      <c r="B492" t="s">
        <v>1175</v>
      </c>
      <c r="C492" s="23" t="s">
        <v>1258</v>
      </c>
      <c r="E492" s="11" t="s">
        <v>1186</v>
      </c>
      <c r="F492" s="57"/>
      <c r="G492" s="1"/>
      <c r="H492" s="58"/>
      <c r="I492" s="1" t="s">
        <v>632</v>
      </c>
      <c r="J492" s="23"/>
      <c r="K492" s="23"/>
      <c r="L492" s="1"/>
      <c r="M492" s="1"/>
      <c r="N492" s="107"/>
    </row>
    <row r="493" spans="1:14" ht="18" hidden="1" customHeight="1" x14ac:dyDescent="0.2">
      <c r="A493" s="9" t="s">
        <v>1202</v>
      </c>
      <c r="B493" t="s">
        <v>1175</v>
      </c>
      <c r="C493" s="23" t="s">
        <v>1258</v>
      </c>
      <c r="E493" s="11" t="s">
        <v>1186</v>
      </c>
      <c r="F493" s="57"/>
      <c r="G493" s="1"/>
      <c r="H493" s="58"/>
      <c r="I493" s="1" t="s">
        <v>641</v>
      </c>
      <c r="J493" s="23"/>
      <c r="K493" s="23"/>
      <c r="L493" s="1"/>
      <c r="M493" s="1"/>
      <c r="N493" s="107"/>
    </row>
    <row r="494" spans="1:14" ht="18" hidden="1" customHeight="1" x14ac:dyDescent="0.2">
      <c r="A494" s="9" t="s">
        <v>1202</v>
      </c>
      <c r="B494" t="s">
        <v>1175</v>
      </c>
      <c r="C494" s="23" t="s">
        <v>1258</v>
      </c>
      <c r="E494" s="11" t="s">
        <v>1186</v>
      </c>
      <c r="F494" s="57"/>
      <c r="G494" s="1"/>
      <c r="H494" s="58"/>
      <c r="I494" s="1" t="s">
        <v>651</v>
      </c>
      <c r="J494" s="23"/>
      <c r="K494" s="23"/>
      <c r="L494" s="1"/>
      <c r="M494" s="1"/>
      <c r="N494" s="107"/>
    </row>
    <row r="495" spans="1:14" ht="18" hidden="1" customHeight="1" x14ac:dyDescent="0.2">
      <c r="A495" s="9" t="s">
        <v>1202</v>
      </c>
      <c r="B495" t="s">
        <v>1175</v>
      </c>
      <c r="C495" s="23" t="s">
        <v>1259</v>
      </c>
      <c r="E495" s="11" t="s">
        <v>1186</v>
      </c>
      <c r="F495" s="57" t="s">
        <v>900</v>
      </c>
      <c r="G495" s="1"/>
      <c r="H495" s="58"/>
      <c r="I495" s="1" t="s">
        <v>901</v>
      </c>
      <c r="J495" s="23"/>
      <c r="K495" s="15">
        <v>44829</v>
      </c>
      <c r="L495" s="1" t="s">
        <v>95</v>
      </c>
      <c r="M495" s="1" t="s">
        <v>15</v>
      </c>
      <c r="N495" s="107" t="str">
        <f>IF(_xlfn.NUMBERVALUE(DATEDIF(J495,K495,"Y"))-Table1[[#This Row],[Κατηγορία]]&lt;0,"* Check Age *","")</f>
        <v/>
      </c>
    </row>
    <row r="496" spans="1:14" ht="18" hidden="1" customHeight="1" x14ac:dyDescent="0.2">
      <c r="A496" s="9" t="s">
        <v>1202</v>
      </c>
      <c r="B496" t="s">
        <v>1175</v>
      </c>
      <c r="C496" s="23" t="s">
        <v>1259</v>
      </c>
      <c r="E496" s="11" t="s">
        <v>1186</v>
      </c>
      <c r="F496" s="57"/>
      <c r="G496" s="1"/>
      <c r="H496" s="58"/>
      <c r="I496" s="1" t="s">
        <v>902</v>
      </c>
      <c r="J496" s="23"/>
      <c r="K496" s="23"/>
      <c r="L496" s="1"/>
      <c r="M496" s="1"/>
      <c r="N496" s="107"/>
    </row>
    <row r="497" spans="1:14" ht="18" hidden="1" customHeight="1" x14ac:dyDescent="0.2">
      <c r="A497" s="9" t="s">
        <v>1202</v>
      </c>
      <c r="B497" t="s">
        <v>1175</v>
      </c>
      <c r="C497" s="23" t="s">
        <v>1259</v>
      </c>
      <c r="E497" s="11" t="s">
        <v>1186</v>
      </c>
      <c r="F497" s="57"/>
      <c r="G497" s="1"/>
      <c r="H497" s="58"/>
      <c r="I497" s="1" t="s">
        <v>643</v>
      </c>
      <c r="J497" s="23"/>
      <c r="K497" s="23"/>
      <c r="L497" s="1"/>
      <c r="M497" s="1"/>
      <c r="N497" s="107"/>
    </row>
    <row r="498" spans="1:14" ht="18" hidden="1" customHeight="1" x14ac:dyDescent="0.2">
      <c r="A498" s="9" t="s">
        <v>1202</v>
      </c>
      <c r="B498" t="s">
        <v>1175</v>
      </c>
      <c r="C498" s="23" t="s">
        <v>1259</v>
      </c>
      <c r="E498" s="11" t="s">
        <v>1186</v>
      </c>
      <c r="F498" s="57"/>
      <c r="G498" s="1"/>
      <c r="H498" s="58"/>
      <c r="I498" s="1" t="s">
        <v>644</v>
      </c>
      <c r="J498" s="23"/>
      <c r="K498" s="23"/>
      <c r="L498" s="1"/>
      <c r="M498" s="1"/>
      <c r="N498" s="107"/>
    </row>
    <row r="499" spans="1:14" ht="18" hidden="1" customHeight="1" x14ac:dyDescent="0.2">
      <c r="A499" s="9" t="s">
        <v>1155</v>
      </c>
      <c r="B499" s="9" t="s">
        <v>1178</v>
      </c>
      <c r="C499" s="12" t="s">
        <v>1256</v>
      </c>
      <c r="D499" s="9" t="s">
        <v>1250</v>
      </c>
      <c r="E499" s="11" t="s">
        <v>1186</v>
      </c>
      <c r="F499" s="52" t="s">
        <v>338</v>
      </c>
      <c r="I499" t="s">
        <v>339</v>
      </c>
      <c r="J499" s="10">
        <v>29758</v>
      </c>
      <c r="K499" s="10">
        <v>42910</v>
      </c>
      <c r="L499" t="s">
        <v>86</v>
      </c>
      <c r="M499" t="s">
        <v>490</v>
      </c>
      <c r="N499" s="107" t="str">
        <f>IF(_xlfn.NUMBERVALUE(DATEDIF(J499,K499,"Y"))-Table1[[#This Row],[Κατηγορία]]&lt;0,"* Check Age *","")</f>
        <v/>
      </c>
    </row>
    <row r="500" spans="1:14" ht="18" hidden="1" customHeight="1" x14ac:dyDescent="0.2">
      <c r="A500" s="9" t="s">
        <v>1155</v>
      </c>
      <c r="B500" s="9" t="s">
        <v>1178</v>
      </c>
      <c r="C500" s="12" t="s">
        <v>1257</v>
      </c>
      <c r="D500" s="9" t="s">
        <v>1250</v>
      </c>
      <c r="E500" s="11" t="s">
        <v>1186</v>
      </c>
      <c r="F500" s="52" t="s">
        <v>463</v>
      </c>
      <c r="I500" t="s">
        <v>410</v>
      </c>
      <c r="J500" s="10">
        <v>19851</v>
      </c>
      <c r="K500" s="10">
        <v>34496</v>
      </c>
      <c r="L500" t="s">
        <v>44</v>
      </c>
      <c r="M500" t="s">
        <v>79</v>
      </c>
      <c r="N500" s="107" t="str">
        <f>IF(_xlfn.NUMBERVALUE(DATEDIF(J500,K500,"Y"))-Table1[[#This Row],[Κατηγορία]]&lt;0,"* Check Age *","")</f>
        <v/>
      </c>
    </row>
    <row r="501" spans="1:14" ht="18" hidden="1" customHeight="1" x14ac:dyDescent="0.2">
      <c r="A501" s="9" t="s">
        <v>1155</v>
      </c>
      <c r="B501" s="9" t="s">
        <v>1178</v>
      </c>
      <c r="C501" s="12" t="s">
        <v>1258</v>
      </c>
      <c r="D501" s="9" t="s">
        <v>1250</v>
      </c>
      <c r="E501" s="11" t="s">
        <v>1186</v>
      </c>
      <c r="F501" s="52" t="s">
        <v>332</v>
      </c>
      <c r="I501" t="s">
        <v>410</v>
      </c>
      <c r="J501" s="10">
        <v>19851</v>
      </c>
      <c r="K501" s="10">
        <v>37078</v>
      </c>
      <c r="L501" t="s">
        <v>403</v>
      </c>
      <c r="M501" s="61" t="s">
        <v>85</v>
      </c>
      <c r="N501" s="107" t="str">
        <f>IF(_xlfn.NUMBERVALUE(DATEDIF(J501,K501,"Y"))-Table1[[#This Row],[Κατηγορία]]&lt;0,"* Check Age *","")</f>
        <v/>
      </c>
    </row>
    <row r="502" spans="1:14" ht="18" hidden="1" customHeight="1" x14ac:dyDescent="0.2">
      <c r="A502" s="9" t="s">
        <v>1155</v>
      </c>
      <c r="B502" s="9" t="s">
        <v>1178</v>
      </c>
      <c r="C502" s="12" t="s">
        <v>1259</v>
      </c>
      <c r="D502" s="9" t="s">
        <v>1251</v>
      </c>
      <c r="E502" s="11" t="s">
        <v>1186</v>
      </c>
      <c r="F502" s="52" t="s">
        <v>464</v>
      </c>
      <c r="I502" t="s">
        <v>410</v>
      </c>
      <c r="J502" s="10">
        <v>19851</v>
      </c>
      <c r="K502" s="10">
        <v>38158</v>
      </c>
      <c r="L502" t="s">
        <v>44</v>
      </c>
      <c r="M502" t="s">
        <v>726</v>
      </c>
      <c r="N502" s="107" t="str">
        <f>IF(_xlfn.NUMBERVALUE(DATEDIF(J502,K502,"Y"))-Table1[[#This Row],[Κατηγορία]]&lt;0,"* Check Age *","")</f>
        <v/>
      </c>
    </row>
    <row r="503" spans="1:14" ht="18" hidden="1" customHeight="1" x14ac:dyDescent="0.2">
      <c r="A503" s="9" t="s">
        <v>1155</v>
      </c>
      <c r="B503" s="9" t="s">
        <v>1178</v>
      </c>
      <c r="C503" s="12" t="s">
        <v>1260</v>
      </c>
      <c r="D503" s="9" t="s">
        <v>1251</v>
      </c>
      <c r="E503" s="11" t="s">
        <v>1186</v>
      </c>
      <c r="F503" s="52" t="s">
        <v>465</v>
      </c>
      <c r="I503" t="s">
        <v>410</v>
      </c>
      <c r="J503" s="10">
        <v>19851</v>
      </c>
      <c r="K503" s="10">
        <v>40023</v>
      </c>
      <c r="L503" t="s">
        <v>468</v>
      </c>
      <c r="M503" s="61" t="s">
        <v>85</v>
      </c>
      <c r="N503" s="107" t="str">
        <f>IF(_xlfn.NUMBERVALUE(DATEDIF(J503,K503,"Y"))-Table1[[#This Row],[Κατηγορία]]&lt;0,"* Check Age *","")</f>
        <v/>
      </c>
    </row>
    <row r="504" spans="1:14" ht="18" hidden="1" customHeight="1" x14ac:dyDescent="0.2">
      <c r="A504" s="9" t="s">
        <v>1155</v>
      </c>
      <c r="B504" s="9" t="s">
        <v>1178</v>
      </c>
      <c r="C504" s="12" t="s">
        <v>1261</v>
      </c>
      <c r="D504" s="9" t="s">
        <v>1252</v>
      </c>
      <c r="E504" s="11" t="s">
        <v>1186</v>
      </c>
      <c r="F504" s="52" t="s">
        <v>466</v>
      </c>
      <c r="I504" t="s">
        <v>410</v>
      </c>
      <c r="J504" s="10">
        <v>19851</v>
      </c>
      <c r="K504" s="10">
        <v>41783</v>
      </c>
      <c r="L504" t="s">
        <v>86</v>
      </c>
      <c r="M504" t="s">
        <v>728</v>
      </c>
      <c r="N504" s="107" t="str">
        <f>IF(_xlfn.NUMBERVALUE(DATEDIF(J504,K504,"Y"))-Table1[[#This Row],[Κατηγορία]]&lt;0,"* Check Age *","")</f>
        <v/>
      </c>
    </row>
    <row r="505" spans="1:14" ht="18" hidden="1" customHeight="1" x14ac:dyDescent="0.2">
      <c r="A505" s="9" t="s">
        <v>1155</v>
      </c>
      <c r="B505" s="9" t="s">
        <v>1178</v>
      </c>
      <c r="C505" s="12" t="s">
        <v>1262</v>
      </c>
      <c r="D505" s="9" t="s">
        <v>1252</v>
      </c>
      <c r="E505" s="11" t="s">
        <v>1186</v>
      </c>
      <c r="F505" s="52" t="s">
        <v>467</v>
      </c>
      <c r="I505" t="s">
        <v>410</v>
      </c>
      <c r="J505" s="10">
        <v>19851</v>
      </c>
      <c r="K505" s="10">
        <v>43632</v>
      </c>
      <c r="L505" t="s">
        <v>122</v>
      </c>
      <c r="M505" s="61" t="s">
        <v>40</v>
      </c>
      <c r="N505" s="107" t="str">
        <f>IF(_xlfn.NUMBERVALUE(DATEDIF(J505,K505,"Y"))-Table1[[#This Row],[Κατηγορία]]&lt;0,"* Check Age *","")</f>
        <v/>
      </c>
    </row>
    <row r="506" spans="1:14" ht="18" hidden="1" customHeight="1" x14ac:dyDescent="0.2">
      <c r="A506" s="9" t="s">
        <v>1155</v>
      </c>
      <c r="B506" s="9" t="s">
        <v>1178</v>
      </c>
      <c r="C506" s="12" t="s">
        <v>1263</v>
      </c>
      <c r="D506" s="9" t="s">
        <v>1242</v>
      </c>
      <c r="E506" s="11" t="s">
        <v>1186</v>
      </c>
      <c r="F506" s="52" t="s">
        <v>1423</v>
      </c>
      <c r="I506" t="s">
        <v>410</v>
      </c>
      <c r="J506" s="10">
        <v>19851</v>
      </c>
      <c r="K506" s="10">
        <v>45941</v>
      </c>
      <c r="L506" s="61" t="s">
        <v>1413</v>
      </c>
      <c r="M506" t="s">
        <v>79</v>
      </c>
      <c r="N506" s="107"/>
    </row>
    <row r="507" spans="1:14" ht="18" hidden="1" customHeight="1" x14ac:dyDescent="0.2">
      <c r="A507" s="9" t="s">
        <v>1155</v>
      </c>
      <c r="B507" s="9" t="s">
        <v>1178</v>
      </c>
      <c r="C507" s="12" t="s">
        <v>1264</v>
      </c>
      <c r="D507" s="9" t="s">
        <v>1242</v>
      </c>
      <c r="E507" s="11" t="s">
        <v>1186</v>
      </c>
      <c r="F507" s="52" t="s">
        <v>17</v>
      </c>
      <c r="I507" t="s">
        <v>469</v>
      </c>
      <c r="J507" s="10">
        <v>14013</v>
      </c>
      <c r="K507" s="11">
        <v>2014</v>
      </c>
      <c r="L507" t="s">
        <v>60</v>
      </c>
      <c r="M507" t="s">
        <v>40</v>
      </c>
      <c r="N507" s="107"/>
    </row>
    <row r="508" spans="1:14" ht="18" hidden="1" customHeight="1" x14ac:dyDescent="0.2">
      <c r="A508" s="9" t="s">
        <v>1155</v>
      </c>
      <c r="B508" s="9" t="s">
        <v>1178</v>
      </c>
      <c r="C508" s="12" t="s">
        <v>1265</v>
      </c>
      <c r="D508" s="9" t="s">
        <v>1253</v>
      </c>
      <c r="E508" s="11" t="s">
        <v>1186</v>
      </c>
      <c r="F508" s="52" t="s">
        <v>1044</v>
      </c>
      <c r="I508" t="s">
        <v>435</v>
      </c>
      <c r="J508" s="10">
        <v>15193</v>
      </c>
      <c r="K508" s="10">
        <v>45409</v>
      </c>
      <c r="L508" t="s">
        <v>106</v>
      </c>
      <c r="M508" t="s">
        <v>753</v>
      </c>
      <c r="N508" s="107" t="str">
        <f>IF(_xlfn.NUMBERVALUE(DATEDIF(J508,K508,"Y"))-Table1[[#This Row],[Κατηγορία]]&lt;0,"* Check Age *","")</f>
        <v/>
      </c>
    </row>
    <row r="509" spans="1:14" ht="18" hidden="1" customHeight="1" x14ac:dyDescent="0.2">
      <c r="A509" s="9" t="s">
        <v>1155</v>
      </c>
      <c r="B509" s="9" t="s">
        <v>1178</v>
      </c>
      <c r="C509" s="12" t="s">
        <v>1267</v>
      </c>
      <c r="D509" s="9"/>
      <c r="E509" s="11" t="s">
        <v>1186</v>
      </c>
      <c r="F509" s="52" t="s">
        <v>1227</v>
      </c>
      <c r="I509" t="s">
        <v>234</v>
      </c>
      <c r="J509" s="10">
        <v>12416</v>
      </c>
      <c r="K509" s="10">
        <v>45781</v>
      </c>
      <c r="L509" t="s">
        <v>1223</v>
      </c>
      <c r="M509" t="s">
        <v>40</v>
      </c>
      <c r="N509" s="107" t="str">
        <f>IF(_xlfn.NUMBERVALUE(DATEDIF(J509,K509,"Y"))-Table1[[#This Row],[Κατηγορία]]&lt;0,"* Check Age *","")</f>
        <v/>
      </c>
    </row>
    <row r="510" spans="1:14" ht="18" hidden="1" customHeight="1" x14ac:dyDescent="0.2">
      <c r="A510" s="9" t="s">
        <v>1202</v>
      </c>
      <c r="B510" t="s">
        <v>1178</v>
      </c>
      <c r="C510" s="23" t="s">
        <v>1256</v>
      </c>
      <c r="D510" t="s">
        <v>1252</v>
      </c>
      <c r="E510" s="11" t="s">
        <v>1186</v>
      </c>
      <c r="F510" s="57" t="s">
        <v>702</v>
      </c>
      <c r="G510" s="1"/>
      <c r="H510" s="58"/>
      <c r="I510" s="1" t="s">
        <v>691</v>
      </c>
      <c r="J510" s="15">
        <v>28254</v>
      </c>
      <c r="K510" s="15">
        <v>42629</v>
      </c>
      <c r="L510" s="1" t="s">
        <v>23</v>
      </c>
      <c r="M510" s="1"/>
      <c r="N510" s="107" t="str">
        <f>IF(_xlfn.NUMBERVALUE(DATEDIF(J510,K510,"Y"))-Table1[[#This Row],[Κατηγορία]]&lt;0,"* Check Age *","")</f>
        <v/>
      </c>
    </row>
    <row r="511" spans="1:14" ht="18" hidden="1" customHeight="1" x14ac:dyDescent="0.2">
      <c r="A511" s="9" t="s">
        <v>1202</v>
      </c>
      <c r="B511" t="s">
        <v>1178</v>
      </c>
      <c r="C511" s="23" t="s">
        <v>1257</v>
      </c>
      <c r="D511" t="s">
        <v>1252</v>
      </c>
      <c r="E511" s="11" t="s">
        <v>1186</v>
      </c>
      <c r="F511" s="57" t="s">
        <v>703</v>
      </c>
      <c r="G511" s="1"/>
      <c r="H511" s="58"/>
      <c r="I511" s="1" t="s">
        <v>691</v>
      </c>
      <c r="J511" s="15">
        <v>28254</v>
      </c>
      <c r="K511" s="23">
        <v>2019</v>
      </c>
      <c r="L511" s="1" t="s">
        <v>122</v>
      </c>
      <c r="M511" s="1" t="s">
        <v>40</v>
      </c>
      <c r="N511" s="107"/>
    </row>
    <row r="512" spans="1:14" ht="18" hidden="1" customHeight="1" x14ac:dyDescent="0.2">
      <c r="A512" s="9" t="s">
        <v>1202</v>
      </c>
      <c r="B512" t="s">
        <v>1178</v>
      </c>
      <c r="C512" s="23" t="s">
        <v>1258</v>
      </c>
      <c r="D512" t="s">
        <v>1252</v>
      </c>
      <c r="E512" s="11" t="s">
        <v>1186</v>
      </c>
      <c r="F512" s="57" t="s">
        <v>878</v>
      </c>
      <c r="G512" s="1"/>
      <c r="H512" s="58"/>
      <c r="I512" s="1" t="s">
        <v>691</v>
      </c>
      <c r="J512" s="15">
        <v>28254</v>
      </c>
      <c r="K512" s="15">
        <v>44829</v>
      </c>
      <c r="L512" s="1" t="s">
        <v>95</v>
      </c>
      <c r="M512" s="1" t="s">
        <v>15</v>
      </c>
      <c r="N512" s="107" t="str">
        <f>IF(_xlfn.NUMBERVALUE(DATEDIF(J512,K512,"Y"))-Table1[[#This Row],[Κατηγορία]]&lt;0,"* Check Age *","")</f>
        <v/>
      </c>
    </row>
    <row r="513" spans="1:14" ht="18" hidden="1" customHeight="1" x14ac:dyDescent="0.2">
      <c r="A513" s="9" t="s">
        <v>1202</v>
      </c>
      <c r="B513" t="s">
        <v>1178</v>
      </c>
      <c r="C513" s="23" t="s">
        <v>1259</v>
      </c>
      <c r="D513" t="s">
        <v>1242</v>
      </c>
      <c r="E513" s="11" t="s">
        <v>1186</v>
      </c>
      <c r="F513" s="57" t="s">
        <v>299</v>
      </c>
      <c r="G513" s="1"/>
      <c r="H513" s="58"/>
      <c r="I513" s="1" t="s">
        <v>292</v>
      </c>
      <c r="J513" s="15">
        <v>24310</v>
      </c>
      <c r="K513" s="15">
        <v>42855</v>
      </c>
      <c r="L513" s="1" t="s">
        <v>55</v>
      </c>
      <c r="M513" s="1" t="s">
        <v>300</v>
      </c>
      <c r="N513" s="107" t="str">
        <f>IF(_xlfn.NUMBERVALUE(DATEDIF(J513,K513,"Y"))-Table1[[#This Row],[Κατηγορία]]&lt;0,"* Check Age *","")</f>
        <v/>
      </c>
    </row>
    <row r="514" spans="1:14" ht="18" hidden="1" customHeight="1" x14ac:dyDescent="0.2">
      <c r="A514" s="9" t="s">
        <v>1202</v>
      </c>
      <c r="B514" t="s">
        <v>1178</v>
      </c>
      <c r="C514" s="23" t="s">
        <v>1260</v>
      </c>
      <c r="D514" t="s">
        <v>1242</v>
      </c>
      <c r="E514" s="11" t="s">
        <v>1186</v>
      </c>
      <c r="F514" s="57" t="s">
        <v>839</v>
      </c>
      <c r="G514" s="1"/>
      <c r="H514" s="58"/>
      <c r="I514" s="1" t="s">
        <v>292</v>
      </c>
      <c r="J514" s="15">
        <v>24310</v>
      </c>
      <c r="K514" s="15">
        <v>44743</v>
      </c>
      <c r="L514" s="1" t="s">
        <v>829</v>
      </c>
      <c r="M514" s="1" t="s">
        <v>85</v>
      </c>
      <c r="N514" s="107" t="str">
        <f>IF(_xlfn.NUMBERVALUE(DATEDIF(J514,K514,"Y"))-Table1[[#This Row],[Κατηγορία]]&lt;0,"* Check Age *","")</f>
        <v/>
      </c>
    </row>
    <row r="515" spans="1:14" ht="18" hidden="1" customHeight="1" x14ac:dyDescent="0.2">
      <c r="A515" s="9" t="s">
        <v>1202</v>
      </c>
      <c r="B515" t="s">
        <v>1178</v>
      </c>
      <c r="C515" s="23" t="s">
        <v>1261</v>
      </c>
      <c r="D515" t="s">
        <v>1253</v>
      </c>
      <c r="E515" s="11" t="s">
        <v>1186</v>
      </c>
      <c r="F515" s="57" t="s">
        <v>1390</v>
      </c>
      <c r="G515" s="58"/>
      <c r="H515"/>
      <c r="I515" s="1" t="s">
        <v>1086</v>
      </c>
      <c r="J515" s="15">
        <v>23473</v>
      </c>
      <c r="K515" s="15">
        <v>45899</v>
      </c>
      <c r="L515" s="1" t="s">
        <v>1409</v>
      </c>
      <c r="M515" s="1" t="s">
        <v>15</v>
      </c>
      <c r="N515" s="107" t="str">
        <f>IF(_xlfn.NUMBERVALUE(DATEDIF(J515,K515,"Y"))-Table1[[#This Row],[Κατηγορία]]&lt;0,"* Check Age *","")</f>
        <v/>
      </c>
    </row>
    <row r="516" spans="1:14" ht="18" hidden="1" customHeight="1" x14ac:dyDescent="0.2">
      <c r="A516" s="9" t="s">
        <v>1202</v>
      </c>
      <c r="B516" t="s">
        <v>1178</v>
      </c>
      <c r="C516" s="23" t="s">
        <v>1262</v>
      </c>
      <c r="D516" t="s">
        <v>1253</v>
      </c>
      <c r="E516" s="11" t="s">
        <v>1186</v>
      </c>
      <c r="F516" s="57" t="s">
        <v>785</v>
      </c>
      <c r="G516" s="1"/>
      <c r="H516" s="58"/>
      <c r="I516" s="1" t="s">
        <v>1434</v>
      </c>
      <c r="J516" s="15">
        <v>18954</v>
      </c>
      <c r="K516" s="15">
        <v>44366</v>
      </c>
      <c r="L516" s="1" t="s">
        <v>46</v>
      </c>
      <c r="M516" s="1" t="s">
        <v>40</v>
      </c>
      <c r="N516" s="107" t="str">
        <f>IF(_xlfn.NUMBERVALUE(DATEDIF(J516,K516,"Y"))-Table1[[#This Row],[Κατηγορία]]&lt;0,"* Check Age *","")</f>
        <v/>
      </c>
    </row>
    <row r="517" spans="1:14" ht="18" hidden="1" customHeight="1" x14ac:dyDescent="0.2">
      <c r="A517" s="9" t="s">
        <v>1202</v>
      </c>
      <c r="B517" t="s">
        <v>1178</v>
      </c>
      <c r="C517" s="23" t="s">
        <v>1263</v>
      </c>
      <c r="D517" t="s">
        <v>1253</v>
      </c>
      <c r="E517" s="11" t="s">
        <v>1186</v>
      </c>
      <c r="F517" s="57" t="s">
        <v>879</v>
      </c>
      <c r="G517" s="1"/>
      <c r="H517" s="58"/>
      <c r="I517" s="1" t="s">
        <v>1434</v>
      </c>
      <c r="J517" s="15">
        <v>18954</v>
      </c>
      <c r="K517" s="15">
        <v>44829</v>
      </c>
      <c r="L517" s="1" t="s">
        <v>95</v>
      </c>
      <c r="M517" s="1" t="s">
        <v>15</v>
      </c>
      <c r="N517" s="107" t="str">
        <f>IF(_xlfn.NUMBERVALUE(DATEDIF(J517,K517,"Y"))-Table1[[#This Row],[Κατηγορία]]&lt;0,"* Check Age *","")</f>
        <v/>
      </c>
    </row>
    <row r="518" spans="1:14" ht="18" hidden="1" customHeight="1" x14ac:dyDescent="0.2">
      <c r="A518" s="9" t="s">
        <v>1155</v>
      </c>
      <c r="B518" s="9" t="s">
        <v>1181</v>
      </c>
      <c r="C518" s="12" t="s">
        <v>1256</v>
      </c>
      <c r="D518" s="9"/>
      <c r="E518" s="11" t="s">
        <v>1186</v>
      </c>
      <c r="F518" s="55">
        <v>6856</v>
      </c>
      <c r="G518" s="65" t="s">
        <v>486</v>
      </c>
      <c r="I518" t="s">
        <v>318</v>
      </c>
      <c r="J518" s="10">
        <v>25792</v>
      </c>
      <c r="K518" s="10">
        <v>39607</v>
      </c>
      <c r="L518" t="s">
        <v>95</v>
      </c>
      <c r="M518" t="s">
        <v>155</v>
      </c>
      <c r="N518" s="107" t="str">
        <f>IF(_xlfn.NUMBERVALUE(DATEDIF(J518,K518,"Y"))-Table1[[#This Row],[Κατηγορία]]&lt;0,"* Check Age *","")</f>
        <v/>
      </c>
    </row>
    <row r="519" spans="1:14" ht="18" hidden="1" customHeight="1" x14ac:dyDescent="0.2">
      <c r="A519" s="9" t="s">
        <v>1155</v>
      </c>
      <c r="B519" s="9" t="s">
        <v>1181</v>
      </c>
      <c r="C519" s="12" t="s">
        <v>1257</v>
      </c>
      <c r="D519" s="9"/>
      <c r="E519" s="11" t="s">
        <v>1186</v>
      </c>
      <c r="F519" s="55">
        <v>6421</v>
      </c>
      <c r="G519" s="65" t="s">
        <v>487</v>
      </c>
      <c r="I519" t="s">
        <v>481</v>
      </c>
      <c r="J519" s="10">
        <v>24705</v>
      </c>
      <c r="K519" s="11">
        <v>2008</v>
      </c>
      <c r="L519" t="s">
        <v>205</v>
      </c>
      <c r="M519" t="s">
        <v>79</v>
      </c>
      <c r="N519" s="107"/>
    </row>
    <row r="520" spans="1:14" ht="18" hidden="1" customHeight="1" x14ac:dyDescent="0.2">
      <c r="A520" s="9" t="s">
        <v>1155</v>
      </c>
      <c r="B520" s="9" t="s">
        <v>1181</v>
      </c>
      <c r="C520" s="12" t="s">
        <v>1258</v>
      </c>
      <c r="D520" s="9"/>
      <c r="E520" s="11" t="s">
        <v>1186</v>
      </c>
      <c r="F520" s="55">
        <v>4834</v>
      </c>
      <c r="G520" t="s">
        <v>741</v>
      </c>
      <c r="I520" t="s">
        <v>488</v>
      </c>
      <c r="J520" s="10">
        <v>22301</v>
      </c>
      <c r="K520" s="11">
        <v>2006</v>
      </c>
      <c r="L520" t="s">
        <v>118</v>
      </c>
      <c r="M520" t="s">
        <v>79</v>
      </c>
      <c r="N520" s="107"/>
    </row>
    <row r="521" spans="1:14" ht="18" hidden="1" customHeight="1" x14ac:dyDescent="0.2">
      <c r="A521" s="9" t="s">
        <v>1155</v>
      </c>
      <c r="B521" s="9" t="s">
        <v>1181</v>
      </c>
      <c r="C521" s="12" t="s">
        <v>1259</v>
      </c>
      <c r="D521" s="9"/>
      <c r="E521" s="11" t="s">
        <v>1186</v>
      </c>
      <c r="F521" s="55">
        <v>7105</v>
      </c>
      <c r="G521" s="65" t="s">
        <v>982</v>
      </c>
      <c r="I521" t="s">
        <v>318</v>
      </c>
      <c r="J521" s="10">
        <v>25792</v>
      </c>
      <c r="K521" s="10">
        <v>45191</v>
      </c>
      <c r="L521" t="s">
        <v>980</v>
      </c>
      <c r="M521" t="s">
        <v>79</v>
      </c>
      <c r="N521" s="107" t="str">
        <f>IF(_xlfn.NUMBERVALUE(DATEDIF(J521,K521,"Y"))-Table1[[#This Row],[Κατηγορία]]&lt;0,"* Check Age *","")</f>
        <v/>
      </c>
    </row>
    <row r="522" spans="1:14" ht="18" hidden="1" customHeight="1" x14ac:dyDescent="0.2">
      <c r="A522" s="9" t="s">
        <v>1155</v>
      </c>
      <c r="B522" s="9" t="s">
        <v>1181</v>
      </c>
      <c r="C522" s="12" t="s">
        <v>1260</v>
      </c>
      <c r="D522" s="9"/>
      <c r="E522" s="11" t="s">
        <v>1186</v>
      </c>
      <c r="F522" s="55">
        <v>5397</v>
      </c>
      <c r="G522" s="65" t="s">
        <v>1094</v>
      </c>
      <c r="I522" t="s">
        <v>481</v>
      </c>
      <c r="J522" s="10">
        <v>24705</v>
      </c>
      <c r="K522" s="10">
        <v>45519</v>
      </c>
      <c r="L522" s="1" t="s">
        <v>1091</v>
      </c>
      <c r="M522" s="1" t="s">
        <v>85</v>
      </c>
      <c r="N522" s="107" t="str">
        <f>IF(_xlfn.NUMBERVALUE(DATEDIF(J522,K522,"Y"))-Table1[[#This Row],[Κατηγορία]]&lt;0,"* Check Age *","")</f>
        <v/>
      </c>
    </row>
    <row r="523" spans="1:14" ht="18" hidden="1" customHeight="1" x14ac:dyDescent="0.2">
      <c r="A523" s="9" t="s">
        <v>1155</v>
      </c>
      <c r="B523" s="9" t="s">
        <v>1181</v>
      </c>
      <c r="C523" s="12" t="s">
        <v>1261</v>
      </c>
      <c r="D523" s="9"/>
      <c r="E523" s="11" t="s">
        <v>1186</v>
      </c>
      <c r="F523" s="55">
        <v>5396</v>
      </c>
      <c r="G523" t="s">
        <v>489</v>
      </c>
      <c r="I523" t="s">
        <v>484</v>
      </c>
      <c r="J523" s="10">
        <v>21268</v>
      </c>
      <c r="K523" s="11">
        <v>2019</v>
      </c>
      <c r="L523" t="s">
        <v>23</v>
      </c>
      <c r="N523" s="107"/>
    </row>
    <row r="524" spans="1:14" ht="18" hidden="1" customHeight="1" x14ac:dyDescent="0.2">
      <c r="A524" s="9" t="s">
        <v>1155</v>
      </c>
      <c r="B524" s="9" t="s">
        <v>1181</v>
      </c>
      <c r="C524" s="12" t="s">
        <v>1262</v>
      </c>
      <c r="D524" s="9"/>
      <c r="E524" s="11" t="s">
        <v>1186</v>
      </c>
      <c r="F524" s="55">
        <v>5942</v>
      </c>
      <c r="G524" t="s">
        <v>983</v>
      </c>
      <c r="I524" t="s">
        <v>375</v>
      </c>
      <c r="J524" s="10">
        <v>21398</v>
      </c>
      <c r="K524" s="10">
        <v>45192</v>
      </c>
      <c r="L524" t="s">
        <v>980</v>
      </c>
      <c r="M524" t="s">
        <v>79</v>
      </c>
      <c r="N524" s="107" t="str">
        <f>IF(_xlfn.NUMBERVALUE(DATEDIF(J524,K524,"Y"))-Table1[[#This Row],[Κατηγορία]]&lt;0,"* Check Age *","")</f>
        <v/>
      </c>
    </row>
    <row r="525" spans="1:14" ht="18" hidden="1" customHeight="1" x14ac:dyDescent="0.2">
      <c r="A525" s="9" t="s">
        <v>1155</v>
      </c>
      <c r="B525" s="9" t="s">
        <v>1181</v>
      </c>
      <c r="C525" s="12" t="s">
        <v>1264</v>
      </c>
      <c r="D525" s="9"/>
      <c r="E525" s="11" t="s">
        <v>1186</v>
      </c>
      <c r="F525" s="55">
        <v>3859</v>
      </c>
      <c r="G525" s="65" t="s">
        <v>849</v>
      </c>
      <c r="I525" t="s">
        <v>744</v>
      </c>
      <c r="J525" s="10">
        <v>16447</v>
      </c>
      <c r="K525" s="10">
        <v>44801</v>
      </c>
      <c r="L525" t="s">
        <v>23</v>
      </c>
      <c r="M525" t="s">
        <v>15</v>
      </c>
      <c r="N525" s="107" t="str">
        <f>IF(_xlfn.NUMBERVALUE(DATEDIF(J525,K525,"Y"))-Table1[[#This Row],[Κατηγορία]]&lt;0,"* Check Age *","")</f>
        <v/>
      </c>
    </row>
    <row r="526" spans="1:14" ht="18" hidden="1" customHeight="1" x14ac:dyDescent="0.2">
      <c r="A526" s="9" t="s">
        <v>1155</v>
      </c>
      <c r="B526" s="9" t="s">
        <v>1181</v>
      </c>
      <c r="C526" s="23">
        <v>80</v>
      </c>
      <c r="D526" s="9"/>
      <c r="E526" s="11" t="s">
        <v>1186</v>
      </c>
      <c r="F526" s="67">
        <v>4050</v>
      </c>
      <c r="G526" s="75" t="s">
        <v>1424</v>
      </c>
      <c r="H526" s="58"/>
      <c r="I526" t="s">
        <v>744</v>
      </c>
      <c r="J526" s="10">
        <v>16447</v>
      </c>
      <c r="K526" s="15">
        <v>45942</v>
      </c>
      <c r="L526" s="1" t="s">
        <v>1413</v>
      </c>
      <c r="M526" s="1" t="s">
        <v>79</v>
      </c>
      <c r="N526" s="107"/>
    </row>
    <row r="527" spans="1:14" ht="18" hidden="1" customHeight="1" x14ac:dyDescent="0.2">
      <c r="A527" s="9" t="s">
        <v>1155</v>
      </c>
      <c r="B527" s="9" t="s">
        <v>423</v>
      </c>
      <c r="C527" s="12" t="s">
        <v>1256</v>
      </c>
      <c r="D527" s="9" t="s">
        <v>1248</v>
      </c>
      <c r="E527" s="11" t="s">
        <v>1186</v>
      </c>
      <c r="F527" s="52" t="s">
        <v>428</v>
      </c>
      <c r="I527" t="s">
        <v>431</v>
      </c>
      <c r="J527" s="11">
        <v>1943</v>
      </c>
      <c r="K527" s="11">
        <v>1978</v>
      </c>
      <c r="L527" t="s">
        <v>44</v>
      </c>
      <c r="N527" s="107"/>
    </row>
    <row r="528" spans="1:14" ht="18" hidden="1" customHeight="1" x14ac:dyDescent="0.2">
      <c r="A528" s="9" t="s">
        <v>1155</v>
      </c>
      <c r="B528" s="9" t="s">
        <v>423</v>
      </c>
      <c r="C528" s="12" t="s">
        <v>1257</v>
      </c>
      <c r="D528" s="9" t="s">
        <v>1248</v>
      </c>
      <c r="E528" s="11" t="s">
        <v>1186</v>
      </c>
      <c r="F528" s="52" t="s">
        <v>429</v>
      </c>
      <c r="I528" t="s">
        <v>427</v>
      </c>
      <c r="J528" s="10">
        <v>20677</v>
      </c>
      <c r="K528" s="11">
        <v>1996</v>
      </c>
      <c r="L528" t="s">
        <v>95</v>
      </c>
      <c r="N528" s="107"/>
    </row>
    <row r="529" spans="1:15" ht="18" hidden="1" customHeight="1" x14ac:dyDescent="0.2">
      <c r="A529" s="9" t="s">
        <v>1155</v>
      </c>
      <c r="B529" s="9" t="s">
        <v>423</v>
      </c>
      <c r="C529" s="12" t="s">
        <v>1258</v>
      </c>
      <c r="D529" s="9" t="s">
        <v>1248</v>
      </c>
      <c r="E529" s="11" t="s">
        <v>1186</v>
      </c>
      <c r="F529" s="52" t="s">
        <v>430</v>
      </c>
      <c r="I529" t="s">
        <v>427</v>
      </c>
      <c r="J529" s="10">
        <v>20677</v>
      </c>
      <c r="K529" s="11">
        <v>2001</v>
      </c>
      <c r="L529" t="s">
        <v>23</v>
      </c>
      <c r="N529" s="107"/>
    </row>
    <row r="530" spans="1:15" ht="18" hidden="1" customHeight="1" x14ac:dyDescent="0.2">
      <c r="A530" s="9" t="s">
        <v>1155</v>
      </c>
      <c r="B530" s="9" t="s">
        <v>423</v>
      </c>
      <c r="C530" s="12" t="s">
        <v>1259</v>
      </c>
      <c r="D530" s="9" t="s">
        <v>378</v>
      </c>
      <c r="E530" s="11" t="s">
        <v>1186</v>
      </c>
      <c r="F530" s="52" t="s">
        <v>424</v>
      </c>
      <c r="I530" t="s">
        <v>425</v>
      </c>
      <c r="J530" s="10">
        <v>17246</v>
      </c>
      <c r="K530" s="11">
        <v>1999</v>
      </c>
      <c r="L530" t="s">
        <v>95</v>
      </c>
      <c r="M530" t="s">
        <v>40</v>
      </c>
      <c r="N530" s="107"/>
    </row>
    <row r="531" spans="1:15" ht="18" hidden="1" customHeight="1" x14ac:dyDescent="0.2">
      <c r="A531" s="9" t="s">
        <v>1155</v>
      </c>
      <c r="B531" s="9" t="s">
        <v>423</v>
      </c>
      <c r="C531" s="12" t="s">
        <v>1260</v>
      </c>
      <c r="D531" s="9" t="s">
        <v>378</v>
      </c>
      <c r="E531" s="11" t="s">
        <v>1186</v>
      </c>
      <c r="F531" s="52" t="s">
        <v>426</v>
      </c>
      <c r="I531" t="s">
        <v>427</v>
      </c>
      <c r="J531" s="10">
        <v>20677</v>
      </c>
      <c r="K531" s="10">
        <v>41539</v>
      </c>
      <c r="L531" t="s">
        <v>23</v>
      </c>
      <c r="N531" s="107" t="str">
        <f>IF(_xlfn.NUMBERVALUE(DATEDIF(J531,K531,"Y"))-Table1[[#This Row],[Κατηγορία]]&lt;0,"* Check Age *","")</f>
        <v/>
      </c>
    </row>
    <row r="532" spans="1:15" ht="18" hidden="1" customHeight="1" x14ac:dyDescent="0.2">
      <c r="A532" s="9" t="s">
        <v>1155</v>
      </c>
      <c r="B532" s="9" t="s">
        <v>423</v>
      </c>
      <c r="C532" s="12" t="s">
        <v>1261</v>
      </c>
      <c r="D532" s="9" t="s">
        <v>1249</v>
      </c>
      <c r="E532" s="11" t="s">
        <v>1186</v>
      </c>
      <c r="F532" s="52" t="s">
        <v>871</v>
      </c>
      <c r="I532" t="s">
        <v>872</v>
      </c>
      <c r="J532" s="10">
        <v>22488</v>
      </c>
      <c r="K532" s="10">
        <v>44828</v>
      </c>
      <c r="L532" t="s">
        <v>95</v>
      </c>
      <c r="M532" t="s">
        <v>15</v>
      </c>
      <c r="N532" s="107" t="str">
        <f>IF(_xlfn.NUMBERVALUE(DATEDIF(J532,K532,"Y"))-Table1[[#This Row],[Κατηγορία]]&lt;0,"* Check Age *","")</f>
        <v/>
      </c>
    </row>
    <row r="533" spans="1:15" ht="18" hidden="1" customHeight="1" x14ac:dyDescent="0.2">
      <c r="A533" s="9" t="s">
        <v>1155</v>
      </c>
      <c r="B533" s="9" t="s">
        <v>423</v>
      </c>
      <c r="C533" s="12" t="s">
        <v>1262</v>
      </c>
      <c r="D533" s="9" t="s">
        <v>1249</v>
      </c>
      <c r="E533" s="11" t="s">
        <v>1186</v>
      </c>
      <c r="F533" s="52" t="s">
        <v>433</v>
      </c>
      <c r="I533" t="s">
        <v>425</v>
      </c>
      <c r="J533" s="10">
        <v>17246</v>
      </c>
      <c r="K533" s="10">
        <v>41198</v>
      </c>
      <c r="L533" t="s">
        <v>434</v>
      </c>
      <c r="N533" s="107" t="str">
        <f>IF(_xlfn.NUMBERVALUE(DATEDIF(J533,K533,"Y"))-Table1[[#This Row],[Κατηγορία]]&lt;0,"* Check Age *","")</f>
        <v/>
      </c>
    </row>
    <row r="534" spans="1:15" ht="18" hidden="1" customHeight="1" x14ac:dyDescent="0.2">
      <c r="A534" s="9" t="s">
        <v>1155</v>
      </c>
      <c r="B534" s="9" t="s">
        <v>423</v>
      </c>
      <c r="C534" s="12" t="s">
        <v>1263</v>
      </c>
      <c r="D534" s="9" t="s">
        <v>1249</v>
      </c>
      <c r="E534" s="11" t="s">
        <v>1186</v>
      </c>
      <c r="F534" s="52" t="s">
        <v>745</v>
      </c>
      <c r="I534" t="s">
        <v>432</v>
      </c>
      <c r="J534" s="10">
        <v>17565</v>
      </c>
      <c r="K534" s="10">
        <v>43631</v>
      </c>
      <c r="L534" t="s">
        <v>122</v>
      </c>
      <c r="M534" t="s">
        <v>40</v>
      </c>
      <c r="N534" s="107" t="str">
        <f>IF(_xlfn.NUMBERVALUE(DATEDIF(J534,K534,"Y"))-Table1[[#This Row],[Κατηγορία]]&lt;0,"* Check Age *","")</f>
        <v/>
      </c>
    </row>
    <row r="535" spans="1:15" ht="18" hidden="1" customHeight="1" x14ac:dyDescent="0.2">
      <c r="A535" s="9" t="s">
        <v>1155</v>
      </c>
      <c r="B535" s="9" t="s">
        <v>423</v>
      </c>
      <c r="C535" s="12" t="s">
        <v>1264</v>
      </c>
      <c r="D535" s="9" t="s">
        <v>1249</v>
      </c>
      <c r="E535" s="11" t="s">
        <v>1186</v>
      </c>
      <c r="F535" s="52" t="s">
        <v>436</v>
      </c>
      <c r="I535" t="s">
        <v>437</v>
      </c>
      <c r="J535" s="11">
        <v>1934</v>
      </c>
      <c r="K535" s="11">
        <v>2010</v>
      </c>
      <c r="L535" t="s">
        <v>44</v>
      </c>
      <c r="N535" s="107"/>
    </row>
    <row r="536" spans="1:15" ht="18" hidden="1" customHeight="1" x14ac:dyDescent="0.2">
      <c r="A536" s="9" t="s">
        <v>1155</v>
      </c>
      <c r="B536" s="9" t="s">
        <v>423</v>
      </c>
      <c r="C536" s="12" t="s">
        <v>1265</v>
      </c>
      <c r="D536" s="9" t="s">
        <v>1249</v>
      </c>
      <c r="E536" s="11" t="s">
        <v>1186</v>
      </c>
      <c r="F536" s="52" t="s">
        <v>1042</v>
      </c>
      <c r="I536" t="s">
        <v>435</v>
      </c>
      <c r="J536" s="10">
        <v>15193</v>
      </c>
      <c r="K536" s="10">
        <v>45409</v>
      </c>
      <c r="L536" t="s">
        <v>106</v>
      </c>
      <c r="M536" t="s">
        <v>753</v>
      </c>
      <c r="N536" s="107" t="str">
        <f>IF(_xlfn.NUMBERVALUE(DATEDIF(J536,K536,"Y"))-Table1[[#This Row],[Κατηγορία]]&lt;0,"* Check Age *","")</f>
        <v/>
      </c>
    </row>
    <row r="537" spans="1:15" ht="18" hidden="1" customHeight="1" x14ac:dyDescent="0.2">
      <c r="A537" s="9" t="s">
        <v>1155</v>
      </c>
      <c r="B537" s="9" t="s">
        <v>423</v>
      </c>
      <c r="C537" s="12" t="s">
        <v>1266</v>
      </c>
      <c r="D537" s="9" t="s">
        <v>1249</v>
      </c>
      <c r="E537" s="11" t="s">
        <v>1186</v>
      </c>
      <c r="F537" s="52" t="s">
        <v>801</v>
      </c>
      <c r="I537" t="s">
        <v>212</v>
      </c>
      <c r="J537" s="10">
        <v>13492</v>
      </c>
      <c r="K537" s="10">
        <v>44612</v>
      </c>
      <c r="L537" t="s">
        <v>86</v>
      </c>
      <c r="M537" t="s">
        <v>802</v>
      </c>
      <c r="N537" s="107" t="str">
        <f>IF(_xlfn.NUMBERVALUE(DATEDIF(J537,K537,"Y"))-Table1[[#This Row],[Κατηγορία]]&lt;0,"* Check Age *","")</f>
        <v/>
      </c>
    </row>
    <row r="538" spans="1:15" ht="18" hidden="1" customHeight="1" x14ac:dyDescent="0.2">
      <c r="A538" s="9" t="s">
        <v>1155</v>
      </c>
      <c r="B538" s="9" t="s">
        <v>423</v>
      </c>
      <c r="C538" s="12" t="s">
        <v>1267</v>
      </c>
      <c r="D538" s="9" t="s">
        <v>1249</v>
      </c>
      <c r="E538" s="11" t="s">
        <v>1186</v>
      </c>
      <c r="F538" s="52" t="s">
        <v>438</v>
      </c>
      <c r="I538" t="s">
        <v>337</v>
      </c>
      <c r="J538" s="10">
        <v>9118</v>
      </c>
      <c r="K538" s="10">
        <v>42266</v>
      </c>
      <c r="L538" t="s">
        <v>95</v>
      </c>
      <c r="M538" t="s">
        <v>15</v>
      </c>
      <c r="N538" s="107" t="str">
        <f>IF(_xlfn.NUMBERVALUE(DATEDIF(J538,K538,"Y"))-Table1[[#This Row],[Κατηγορία]]&lt;0,"* Check Age *","")</f>
        <v/>
      </c>
    </row>
    <row r="539" spans="1:15" ht="18" hidden="1" customHeight="1" x14ac:dyDescent="0.2">
      <c r="A539" s="9" t="s">
        <v>1202</v>
      </c>
      <c r="B539" t="s">
        <v>423</v>
      </c>
      <c r="C539" s="23" t="s">
        <v>1256</v>
      </c>
      <c r="D539" t="s">
        <v>1249</v>
      </c>
      <c r="E539" s="11" t="s">
        <v>1186</v>
      </c>
      <c r="F539" s="57" t="s">
        <v>684</v>
      </c>
      <c r="G539" s="4"/>
      <c r="H539" s="58"/>
      <c r="I539" s="4" t="s">
        <v>687</v>
      </c>
      <c r="J539" s="15">
        <v>27163</v>
      </c>
      <c r="K539" s="15">
        <v>39928</v>
      </c>
      <c r="L539" s="4" t="s">
        <v>86</v>
      </c>
      <c r="M539" s="4"/>
      <c r="N539" s="107" t="str">
        <f>IF(_xlfn.NUMBERVALUE(DATEDIF(J539,K539,"Y"))-Table1[[#This Row],[Κατηγορία]]&lt;0,CONCATENATE("* Check Age = ",TEXT(DATEDIF(J539,K539,"Y"),"00"),"*"),"")</f>
        <v>* Check Age = 34*</v>
      </c>
      <c r="O539" t="s">
        <v>1427</v>
      </c>
    </row>
    <row r="540" spans="1:15" ht="18" hidden="1" customHeight="1" x14ac:dyDescent="0.2">
      <c r="A540" s="9" t="s">
        <v>1202</v>
      </c>
      <c r="B540" t="s">
        <v>423</v>
      </c>
      <c r="C540" s="23" t="s">
        <v>1257</v>
      </c>
      <c r="D540" t="s">
        <v>1249</v>
      </c>
      <c r="E540" s="11" t="s">
        <v>1186</v>
      </c>
      <c r="F540" s="57" t="s">
        <v>714</v>
      </c>
      <c r="G540" s="4"/>
      <c r="H540" s="58"/>
      <c r="I540" s="4" t="s">
        <v>688</v>
      </c>
      <c r="J540" s="15">
        <v>27505</v>
      </c>
      <c r="K540" s="15">
        <v>43254</v>
      </c>
      <c r="L540" s="1" t="s">
        <v>95</v>
      </c>
      <c r="M540" s="4"/>
      <c r="N540" s="107" t="str">
        <f>IF(_xlfn.NUMBERVALUE(DATEDIF(J540,K540,"Y"))-Table1[[#This Row],[Κατηγορία]]&lt;0,"* Check Age *","")</f>
        <v/>
      </c>
    </row>
    <row r="541" spans="1:15" ht="18" hidden="1" customHeight="1" x14ac:dyDescent="0.2">
      <c r="A541" s="9" t="s">
        <v>1202</v>
      </c>
      <c r="B541" t="s">
        <v>423</v>
      </c>
      <c r="C541" s="23" t="s">
        <v>1258</v>
      </c>
      <c r="D541" t="s">
        <v>1249</v>
      </c>
      <c r="E541" s="11" t="s">
        <v>1186</v>
      </c>
      <c r="F541" s="57" t="s">
        <v>843</v>
      </c>
      <c r="G541" s="4"/>
      <c r="H541" s="58"/>
      <c r="I541" s="1" t="s">
        <v>844</v>
      </c>
      <c r="J541" s="23">
        <v>1977</v>
      </c>
      <c r="K541" s="15">
        <v>44758</v>
      </c>
      <c r="L541" s="1" t="s">
        <v>46</v>
      </c>
      <c r="M541" s="1" t="s">
        <v>40</v>
      </c>
      <c r="N541" s="107" t="str">
        <f>IF(_xlfn.NUMBERVALUE(DATEDIF(J541,K541,"Y"))-Table1[[#This Row],[Κατηγορία]]&lt;0,"* Check Age *","")</f>
        <v/>
      </c>
    </row>
    <row r="542" spans="1:15" ht="18" hidden="1" customHeight="1" x14ac:dyDescent="0.2">
      <c r="A542" s="9" t="s">
        <v>1202</v>
      </c>
      <c r="B542" t="s">
        <v>423</v>
      </c>
      <c r="C542" s="23" t="s">
        <v>1259</v>
      </c>
      <c r="D542" t="s">
        <v>1249</v>
      </c>
      <c r="E542" s="11" t="s">
        <v>1186</v>
      </c>
      <c r="F542" s="57" t="s">
        <v>1275</v>
      </c>
      <c r="G542" s="4"/>
      <c r="H542" s="58"/>
      <c r="I542" s="4" t="s">
        <v>688</v>
      </c>
      <c r="J542" s="15">
        <v>27505</v>
      </c>
      <c r="K542" s="15">
        <v>45808</v>
      </c>
      <c r="L542" s="4" t="s">
        <v>1273</v>
      </c>
      <c r="M542" s="4" t="s">
        <v>1271</v>
      </c>
      <c r="N542" s="107" t="str">
        <f>IF(_xlfn.NUMBERVALUE(DATEDIF(J542,K542,"Y"))-Table1[[#This Row],[Κατηγορία]]&lt;0,"* Check Age *","")</f>
        <v/>
      </c>
    </row>
    <row r="543" spans="1:15" ht="18" hidden="1" customHeight="1" x14ac:dyDescent="0.2">
      <c r="A543" s="9" t="s">
        <v>1202</v>
      </c>
      <c r="B543" t="s">
        <v>423</v>
      </c>
      <c r="C543" s="23" t="s">
        <v>1260</v>
      </c>
      <c r="D543" t="s">
        <v>1249</v>
      </c>
      <c r="E543" s="11" t="s">
        <v>1186</v>
      </c>
      <c r="F543" s="57" t="s">
        <v>954</v>
      </c>
      <c r="G543" s="4"/>
      <c r="H543" s="58"/>
      <c r="I543" s="1" t="s">
        <v>292</v>
      </c>
      <c r="J543" s="15">
        <v>24310</v>
      </c>
      <c r="K543" s="15">
        <v>45073</v>
      </c>
      <c r="L543" s="4" t="s">
        <v>23</v>
      </c>
      <c r="M543" s="1" t="s">
        <v>753</v>
      </c>
      <c r="N543" s="107" t="str">
        <f>IF(_xlfn.NUMBERVALUE(DATEDIF(J543,K543,"Y"))-Table1[[#This Row],[Κατηγορία]]&lt;0,"* Check Age *","")</f>
        <v/>
      </c>
    </row>
    <row r="544" spans="1:15" ht="18" hidden="1" customHeight="1" x14ac:dyDescent="0.2">
      <c r="A544" s="9" t="s">
        <v>1202</v>
      </c>
      <c r="B544" t="s">
        <v>423</v>
      </c>
      <c r="C544" s="23" t="s">
        <v>1261</v>
      </c>
      <c r="D544" t="s">
        <v>1249</v>
      </c>
      <c r="E544" s="11" t="s">
        <v>1186</v>
      </c>
      <c r="F544" s="57" t="s">
        <v>787</v>
      </c>
      <c r="G544" s="4"/>
      <c r="H544" s="58"/>
      <c r="I544" s="1" t="s">
        <v>1434</v>
      </c>
      <c r="J544" s="15">
        <v>18954</v>
      </c>
      <c r="K544" s="23">
        <v>2016</v>
      </c>
      <c r="L544" s="4" t="s">
        <v>23</v>
      </c>
      <c r="M544" s="1"/>
      <c r="N544" s="107"/>
    </row>
    <row r="545" spans="1:15" ht="18" hidden="1" customHeight="1" x14ac:dyDescent="0.2">
      <c r="A545" s="9" t="s">
        <v>1202</v>
      </c>
      <c r="B545" t="s">
        <v>423</v>
      </c>
      <c r="C545" s="23" t="s">
        <v>1262</v>
      </c>
      <c r="D545" t="s">
        <v>1249</v>
      </c>
      <c r="E545" s="11" t="s">
        <v>1186</v>
      </c>
      <c r="F545" s="57" t="s">
        <v>686</v>
      </c>
      <c r="G545" s="4"/>
      <c r="H545" s="58"/>
      <c r="I545" s="1" t="s">
        <v>1434</v>
      </c>
      <c r="J545" s="15">
        <v>18954</v>
      </c>
      <c r="K545" s="15">
        <v>43595</v>
      </c>
      <c r="L545" s="4" t="s">
        <v>434</v>
      </c>
      <c r="M545" s="4"/>
      <c r="N545" s="107" t="str">
        <f>IF(_xlfn.NUMBERVALUE(DATEDIF(J545,K545,"Y"))-Table1[[#This Row],[Κατηγορία]]&lt;0,"* Check Age *","")</f>
        <v/>
      </c>
    </row>
    <row r="546" spans="1:15" ht="18" hidden="1" customHeight="1" x14ac:dyDescent="0.2">
      <c r="A546" s="9" t="s">
        <v>1202</v>
      </c>
      <c r="B546" t="s">
        <v>423</v>
      </c>
      <c r="C546" s="23" t="s">
        <v>1263</v>
      </c>
      <c r="D546" t="s">
        <v>1249</v>
      </c>
      <c r="E546" s="11" t="s">
        <v>1186</v>
      </c>
      <c r="F546" s="57" t="s">
        <v>1428</v>
      </c>
      <c r="G546" s="4"/>
      <c r="H546" s="58"/>
      <c r="I546" s="1" t="s">
        <v>1434</v>
      </c>
      <c r="J546" s="15">
        <v>18954</v>
      </c>
      <c r="K546" s="15">
        <v>45927</v>
      </c>
      <c r="L546" s="1" t="s">
        <v>27</v>
      </c>
      <c r="M546" s="1" t="s">
        <v>177</v>
      </c>
      <c r="N546" s="107"/>
    </row>
    <row r="547" spans="1:15" ht="18" hidden="1" customHeight="1" x14ac:dyDescent="0.2">
      <c r="A547" s="9" t="s">
        <v>1202</v>
      </c>
      <c r="B547" t="s">
        <v>423</v>
      </c>
      <c r="C547" s="23" t="s">
        <v>1264</v>
      </c>
      <c r="D547" t="s">
        <v>1249</v>
      </c>
      <c r="E547" s="11" t="s">
        <v>1186</v>
      </c>
      <c r="F547" s="57" t="s">
        <v>962</v>
      </c>
      <c r="G547" s="4"/>
      <c r="H547" s="58"/>
      <c r="I547" s="1" t="s">
        <v>963</v>
      </c>
      <c r="J547" s="15">
        <v>17624</v>
      </c>
      <c r="K547" s="15">
        <v>45116</v>
      </c>
      <c r="L547" s="1" t="s">
        <v>23</v>
      </c>
      <c r="M547" s="1" t="s">
        <v>343</v>
      </c>
      <c r="N547" s="107" t="str">
        <f>IF(_xlfn.NUMBERVALUE(DATEDIF(J547,K547,"Y"))-Table1[[#This Row],[Κατηγορία]]&lt;0,"* Check Age *","")</f>
        <v/>
      </c>
    </row>
    <row r="548" spans="1:15" ht="18" hidden="1" customHeight="1" x14ac:dyDescent="0.2">
      <c r="A548" s="9" t="s">
        <v>1155</v>
      </c>
      <c r="B548" s="9" t="s">
        <v>1177</v>
      </c>
      <c r="C548" s="12" t="s">
        <v>1256</v>
      </c>
      <c r="D548" s="9"/>
      <c r="E548" s="11" t="s">
        <v>1186</v>
      </c>
      <c r="F548" s="52" t="s">
        <v>316</v>
      </c>
      <c r="G548" s="61"/>
      <c r="I548" s="61" t="s">
        <v>387</v>
      </c>
      <c r="J548" s="10">
        <v>22923</v>
      </c>
      <c r="K548" s="11">
        <v>1997</v>
      </c>
      <c r="L548" s="61" t="s">
        <v>44</v>
      </c>
      <c r="M548" s="61"/>
      <c r="N548" s="107"/>
    </row>
    <row r="549" spans="1:15" ht="18" hidden="1" customHeight="1" x14ac:dyDescent="0.2">
      <c r="A549" s="9" t="s">
        <v>1155</v>
      </c>
      <c r="B549" s="9" t="s">
        <v>1177</v>
      </c>
      <c r="C549" s="12" t="s">
        <v>1257</v>
      </c>
      <c r="D549" s="9"/>
      <c r="E549" s="11" t="s">
        <v>1186</v>
      </c>
      <c r="F549" s="52" t="s">
        <v>959</v>
      </c>
      <c r="G549" s="61"/>
      <c r="I549" s="61" t="s">
        <v>960</v>
      </c>
      <c r="J549" s="10">
        <v>29714</v>
      </c>
      <c r="K549" s="10">
        <v>45087</v>
      </c>
      <c r="L549" s="61" t="s">
        <v>319</v>
      </c>
      <c r="M549" s="61" t="s">
        <v>961</v>
      </c>
      <c r="N549" s="107" t="str">
        <f>IF(_xlfn.NUMBERVALUE(DATEDIF(J549,K549,"Y"))-Table1[[#This Row],[Κατηγορία]]&lt;0,"* Check Age *","")</f>
        <v/>
      </c>
    </row>
    <row r="550" spans="1:15" ht="18" hidden="1" customHeight="1" x14ac:dyDescent="0.2">
      <c r="A550" s="9" t="s">
        <v>1155</v>
      </c>
      <c r="B550" s="9" t="s">
        <v>1177</v>
      </c>
      <c r="C550" s="12" t="s">
        <v>1257</v>
      </c>
      <c r="D550" s="9"/>
      <c r="E550" s="11" t="s">
        <v>1187</v>
      </c>
      <c r="G550" s="61"/>
      <c r="I550" s="61"/>
      <c r="K550" s="10">
        <v>45115</v>
      </c>
      <c r="L550" s="61" t="s">
        <v>46</v>
      </c>
      <c r="M550" s="61" t="s">
        <v>155</v>
      </c>
      <c r="N550" s="107" t="str">
        <f>IF(_xlfn.NUMBERVALUE(DATEDIF(J550,K550,"Y"))-Table1[[#This Row],[Κατηγορία]]&lt;0,"* Check Age *","")</f>
        <v/>
      </c>
    </row>
    <row r="551" spans="1:15" ht="18" hidden="1" customHeight="1" x14ac:dyDescent="0.2">
      <c r="A551" s="9" t="s">
        <v>1155</v>
      </c>
      <c r="B551" s="9" t="s">
        <v>1177</v>
      </c>
      <c r="C551" s="12" t="s">
        <v>1258</v>
      </c>
      <c r="D551" s="9"/>
      <c r="E551" s="11" t="s">
        <v>1186</v>
      </c>
      <c r="F551" s="52" t="s">
        <v>317</v>
      </c>
      <c r="G551" s="61"/>
      <c r="I551" s="61" t="s">
        <v>318</v>
      </c>
      <c r="J551" s="10">
        <v>25792</v>
      </c>
      <c r="K551" s="11">
        <v>2016</v>
      </c>
      <c r="L551" s="61" t="s">
        <v>319</v>
      </c>
      <c r="M551" s="61" t="s">
        <v>308</v>
      </c>
      <c r="N551" s="107"/>
    </row>
    <row r="552" spans="1:15" ht="18" hidden="1" customHeight="1" x14ac:dyDescent="0.2">
      <c r="A552" s="9" t="s">
        <v>1155</v>
      </c>
      <c r="B552" s="9" t="s">
        <v>1177</v>
      </c>
      <c r="C552" s="12" t="s">
        <v>1258</v>
      </c>
      <c r="D552" s="9"/>
      <c r="E552" s="11" t="s">
        <v>1187</v>
      </c>
      <c r="F552" s="52" t="s">
        <v>317</v>
      </c>
      <c r="G552" s="61"/>
      <c r="I552" s="61" t="s">
        <v>320</v>
      </c>
      <c r="J552" s="11">
        <v>1969</v>
      </c>
      <c r="K552" s="10">
        <v>42869</v>
      </c>
      <c r="L552" s="61" t="s">
        <v>86</v>
      </c>
      <c r="M552" s="61" t="s">
        <v>308</v>
      </c>
      <c r="N552" s="107" t="str">
        <f>IF(_xlfn.NUMBERVALUE(DATEDIF(J552,K552,"Y"))-Table1[[#This Row],[Κατηγορία]]&lt;0,"* Check Age *","")</f>
        <v/>
      </c>
    </row>
    <row r="553" spans="1:15" ht="18" hidden="1" customHeight="1" x14ac:dyDescent="0.2">
      <c r="A553" s="9" t="s">
        <v>1155</v>
      </c>
      <c r="B553" s="9" t="s">
        <v>1177</v>
      </c>
      <c r="C553" s="12" t="s">
        <v>1259</v>
      </c>
      <c r="D553" s="9"/>
      <c r="E553" s="11" t="s">
        <v>1186</v>
      </c>
      <c r="F553" s="52" t="s">
        <v>321</v>
      </c>
      <c r="G553" s="61"/>
      <c r="I553" s="61" t="s">
        <v>328</v>
      </c>
      <c r="J553" s="10">
        <v>18629</v>
      </c>
      <c r="K553" s="11">
        <v>2001</v>
      </c>
      <c r="L553" s="61" t="s">
        <v>331</v>
      </c>
      <c r="M553" s="61" t="s">
        <v>85</v>
      </c>
      <c r="N553" s="107"/>
    </row>
    <row r="554" spans="1:15" ht="18" hidden="1" customHeight="1" x14ac:dyDescent="0.2">
      <c r="A554" s="9" t="s">
        <v>1155</v>
      </c>
      <c r="B554" s="9" t="s">
        <v>1177</v>
      </c>
      <c r="C554" s="12" t="s">
        <v>1260</v>
      </c>
      <c r="D554" s="9"/>
      <c r="E554" s="11" t="s">
        <v>1186</v>
      </c>
      <c r="F554" s="52" t="s">
        <v>773</v>
      </c>
      <c r="G554" s="61"/>
      <c r="I554" s="61" t="s">
        <v>772</v>
      </c>
      <c r="J554" s="11">
        <v>1965</v>
      </c>
      <c r="K554" s="10">
        <v>44342</v>
      </c>
      <c r="L554" s="61" t="s">
        <v>95</v>
      </c>
      <c r="M554" s="61" t="s">
        <v>774</v>
      </c>
      <c r="N554" s="107" t="str">
        <f>IF(_xlfn.NUMBERVALUE(DATEDIF(J554,K554,"Y"))-Table1[[#This Row],[Κατηγορία]]&lt;0,"* Check Age *","")</f>
        <v/>
      </c>
    </row>
    <row r="555" spans="1:15" ht="18" hidden="1" customHeight="1" x14ac:dyDescent="0.2">
      <c r="A555" s="9" t="s">
        <v>1155</v>
      </c>
      <c r="B555" s="9" t="s">
        <v>1177</v>
      </c>
      <c r="C555" s="12" t="s">
        <v>1261</v>
      </c>
      <c r="D555" s="9"/>
      <c r="E555" s="11" t="s">
        <v>1186</v>
      </c>
      <c r="F555" s="52" t="s">
        <v>322</v>
      </c>
      <c r="G555" s="61"/>
      <c r="I555" t="s">
        <v>327</v>
      </c>
      <c r="J555" s="10">
        <v>11291</v>
      </c>
      <c r="K555" s="11">
        <v>1994</v>
      </c>
      <c r="L555" s="61" t="s">
        <v>44</v>
      </c>
      <c r="M555" s="61"/>
      <c r="N555" s="107"/>
    </row>
    <row r="556" spans="1:15" ht="18" hidden="1" customHeight="1" x14ac:dyDescent="0.2">
      <c r="A556" s="9" t="s">
        <v>1155</v>
      </c>
      <c r="B556" s="9" t="s">
        <v>1177</v>
      </c>
      <c r="C556" s="12" t="s">
        <v>1262</v>
      </c>
      <c r="D556" s="9"/>
      <c r="E556" s="11" t="s">
        <v>1186</v>
      </c>
      <c r="F556" s="52" t="s">
        <v>323</v>
      </c>
      <c r="G556" s="61"/>
      <c r="I556" t="s">
        <v>327</v>
      </c>
      <c r="J556" s="10">
        <v>11291</v>
      </c>
      <c r="K556" s="10">
        <v>34875</v>
      </c>
      <c r="L556" s="61" t="s">
        <v>44</v>
      </c>
      <c r="M556" s="61" t="s">
        <v>40</v>
      </c>
      <c r="N556" s="107" t="str">
        <f>IF(_xlfn.NUMBERVALUE(DATEDIF(J556,K556,"Y"))-Table1[[#This Row],[Κατηγορία]]&lt;0,CONCATENATE("* Check Age = ",TEXT(DATEDIF(J556,K556,"Y"),"00"),"*"),"")</f>
        <v>* Check Age = 64*</v>
      </c>
      <c r="O556" t="s">
        <v>1427</v>
      </c>
    </row>
    <row r="557" spans="1:15" ht="18" hidden="1" customHeight="1" x14ac:dyDescent="0.2">
      <c r="A557" s="9" t="s">
        <v>1155</v>
      </c>
      <c r="B557" s="9" t="s">
        <v>1177</v>
      </c>
      <c r="C557" s="12" t="s">
        <v>1263</v>
      </c>
      <c r="D557" s="9"/>
      <c r="E557" s="11" t="s">
        <v>1186</v>
      </c>
      <c r="F557" s="52" t="s">
        <v>324</v>
      </c>
      <c r="G557" s="61"/>
      <c r="I557" t="s">
        <v>329</v>
      </c>
      <c r="J557" s="10">
        <v>15073</v>
      </c>
      <c r="K557" s="11">
        <v>2012</v>
      </c>
      <c r="L557" s="61" t="s">
        <v>44</v>
      </c>
      <c r="M557" s="61"/>
      <c r="N557" s="107"/>
    </row>
    <row r="558" spans="1:15" ht="18" hidden="1" customHeight="1" x14ac:dyDescent="0.2">
      <c r="A558" s="9" t="s">
        <v>1155</v>
      </c>
      <c r="B558" s="9" t="s">
        <v>1177</v>
      </c>
      <c r="C558" s="12" t="s">
        <v>1264</v>
      </c>
      <c r="D558" s="9"/>
      <c r="E558" s="11" t="s">
        <v>1186</v>
      </c>
      <c r="F558" s="52" t="s">
        <v>325</v>
      </c>
      <c r="G558" s="61"/>
      <c r="I558" t="s">
        <v>329</v>
      </c>
      <c r="J558" s="10">
        <v>15073</v>
      </c>
      <c r="K558" s="11">
        <v>2016</v>
      </c>
      <c r="L558" s="61" t="s">
        <v>330</v>
      </c>
      <c r="M558" s="61"/>
      <c r="N558" s="107"/>
    </row>
    <row r="559" spans="1:15" ht="18" hidden="1" customHeight="1" x14ac:dyDescent="0.2">
      <c r="A559" s="9" t="s">
        <v>1155</v>
      </c>
      <c r="B559" s="9" t="s">
        <v>1177</v>
      </c>
      <c r="C559" s="12" t="s">
        <v>1265</v>
      </c>
      <c r="D559" s="9"/>
      <c r="E559" s="11" t="s">
        <v>1186</v>
      </c>
      <c r="F559" s="52" t="s">
        <v>326</v>
      </c>
      <c r="G559" s="61"/>
      <c r="I559" s="61" t="s">
        <v>234</v>
      </c>
      <c r="J559" s="10">
        <v>12411</v>
      </c>
      <c r="K559" s="10">
        <v>41875</v>
      </c>
      <c r="L559" s="61" t="s">
        <v>57</v>
      </c>
      <c r="M559" s="61" t="s">
        <v>79</v>
      </c>
      <c r="N559" s="107" t="str">
        <f>IF(_xlfn.NUMBERVALUE(DATEDIF(J559,K559,"Y"))-Table1[[#This Row],[Κατηγορία]]&lt;0,"* Check Age *","")</f>
        <v/>
      </c>
    </row>
    <row r="560" spans="1:15" ht="18" hidden="1" customHeight="1" x14ac:dyDescent="0.2">
      <c r="A560" s="9" t="s">
        <v>1202</v>
      </c>
      <c r="B560" s="9" t="s">
        <v>1177</v>
      </c>
      <c r="C560" s="23" t="s">
        <v>1256</v>
      </c>
      <c r="D560" s="9"/>
      <c r="E560" s="11" t="s">
        <v>1186</v>
      </c>
      <c r="F560" s="57" t="s">
        <v>790</v>
      </c>
      <c r="G560" s="4"/>
      <c r="H560" s="89"/>
      <c r="I560" s="4" t="s">
        <v>771</v>
      </c>
      <c r="J560" s="15">
        <v>31492</v>
      </c>
      <c r="K560" s="15">
        <v>44382</v>
      </c>
      <c r="L560" s="1" t="s">
        <v>791</v>
      </c>
      <c r="M560" s="4" t="s">
        <v>792</v>
      </c>
      <c r="N560" s="107" t="str">
        <f>IF(_xlfn.NUMBERVALUE(DATEDIF(J560,K560,"Y"))-Table1[[#This Row],[Κατηγορία]]&lt;0,"* Check Age *","")</f>
        <v/>
      </c>
    </row>
    <row r="561" spans="1:15" ht="18" hidden="1" customHeight="1" x14ac:dyDescent="0.2">
      <c r="A561" s="9" t="s">
        <v>1202</v>
      </c>
      <c r="B561" s="9" t="s">
        <v>1177</v>
      </c>
      <c r="C561" s="23" t="s">
        <v>1257</v>
      </c>
      <c r="D561" s="9"/>
      <c r="E561" s="11" t="s">
        <v>1186</v>
      </c>
      <c r="F561" s="57" t="s">
        <v>323</v>
      </c>
      <c r="G561" s="4"/>
      <c r="H561" s="58"/>
      <c r="I561" s="4" t="s">
        <v>1234</v>
      </c>
      <c r="J561" s="15">
        <v>30573</v>
      </c>
      <c r="K561" s="15">
        <v>45794</v>
      </c>
      <c r="L561" s="4" t="s">
        <v>95</v>
      </c>
      <c r="M561" s="4" t="s">
        <v>295</v>
      </c>
      <c r="N561" s="107" t="str">
        <f>IF(_xlfn.NUMBERVALUE(DATEDIF(J561,K561,"Y"))-Table1[[#This Row],[Κατηγορία]]&lt;0,"* Check Age *","")</f>
        <v/>
      </c>
    </row>
    <row r="562" spans="1:15" ht="18" hidden="1" customHeight="1" x14ac:dyDescent="0.2">
      <c r="A562" s="9" t="s">
        <v>1202</v>
      </c>
      <c r="B562" t="s">
        <v>1205</v>
      </c>
      <c r="C562" s="23" t="s">
        <v>1256</v>
      </c>
      <c r="E562" s="11" t="s">
        <v>1186</v>
      </c>
      <c r="F562" s="67">
        <v>6215</v>
      </c>
      <c r="G562" s="75"/>
      <c r="H562" s="58"/>
      <c r="I562" s="1" t="s">
        <v>606</v>
      </c>
      <c r="J562" s="15">
        <v>27609</v>
      </c>
      <c r="K562" s="15">
        <v>40328</v>
      </c>
      <c r="L562" s="1" t="s">
        <v>607</v>
      </c>
      <c r="M562" s="4" t="s">
        <v>155</v>
      </c>
      <c r="N562" s="107"/>
    </row>
    <row r="563" spans="1:15" ht="18" hidden="1" customHeight="1" x14ac:dyDescent="0.2">
      <c r="A563" s="9" t="s">
        <v>1202</v>
      </c>
      <c r="B563" t="s">
        <v>1205</v>
      </c>
      <c r="C563" s="23" t="s">
        <v>1256</v>
      </c>
      <c r="E563" s="11" t="s">
        <v>1186</v>
      </c>
      <c r="F563" s="67" t="s">
        <v>718</v>
      </c>
      <c r="G563" s="75"/>
      <c r="H563" s="58"/>
      <c r="I563" s="1"/>
      <c r="J563" s="23"/>
      <c r="K563" s="23"/>
      <c r="L563" s="1"/>
      <c r="M563" s="4"/>
      <c r="N563" s="107"/>
    </row>
    <row r="564" spans="1:15" ht="18" hidden="1" customHeight="1" x14ac:dyDescent="0.2">
      <c r="A564" s="9" t="s">
        <v>1202</v>
      </c>
      <c r="B564" t="s">
        <v>1205</v>
      </c>
      <c r="C564" s="23" t="s">
        <v>1257</v>
      </c>
      <c r="E564" s="11" t="s">
        <v>1186</v>
      </c>
      <c r="F564" s="67">
        <v>3334</v>
      </c>
      <c r="G564" s="75"/>
      <c r="H564" s="58"/>
      <c r="I564" s="1" t="s">
        <v>609</v>
      </c>
      <c r="J564" s="15">
        <v>27803</v>
      </c>
      <c r="K564" s="23">
        <v>2017</v>
      </c>
      <c r="L564" s="1" t="s">
        <v>23</v>
      </c>
      <c r="M564" s="1"/>
      <c r="N564" s="107"/>
    </row>
    <row r="565" spans="1:15" ht="18" hidden="1" customHeight="1" x14ac:dyDescent="0.2">
      <c r="A565" s="9" t="s">
        <v>1202</v>
      </c>
      <c r="B565" t="s">
        <v>1205</v>
      </c>
      <c r="C565" s="23" t="s">
        <v>1257</v>
      </c>
      <c r="E565" s="11" t="s">
        <v>1186</v>
      </c>
      <c r="F565" s="67" t="s">
        <v>719</v>
      </c>
      <c r="G565" s="75"/>
      <c r="H565" s="58"/>
      <c r="I565" s="1"/>
      <c r="J565" s="23"/>
      <c r="K565" s="23"/>
      <c r="L565" s="1"/>
      <c r="M565" s="1"/>
      <c r="N565" s="107"/>
    </row>
    <row r="566" spans="1:15" ht="18" hidden="1" customHeight="1" x14ac:dyDescent="0.2">
      <c r="A566" s="9" t="s">
        <v>1202</v>
      </c>
      <c r="B566" t="s">
        <v>1205</v>
      </c>
      <c r="C566" s="23" t="s">
        <v>1258</v>
      </c>
      <c r="E566" s="11" t="s">
        <v>1186</v>
      </c>
      <c r="F566" s="67">
        <v>3570</v>
      </c>
      <c r="G566" s="75"/>
      <c r="H566" s="58"/>
      <c r="I566" s="1" t="s">
        <v>609</v>
      </c>
      <c r="J566" s="15">
        <v>27803</v>
      </c>
      <c r="K566" s="15">
        <v>44801</v>
      </c>
      <c r="L566" s="1" t="s">
        <v>23</v>
      </c>
      <c r="M566" s="1" t="s">
        <v>15</v>
      </c>
      <c r="N566" s="107" t="str">
        <f>IF(_xlfn.NUMBERVALUE(DATEDIF(J566,K566,"Y"))-Table1[[#This Row],[Κατηγορία]]&lt;0,"* Check Age *","")</f>
        <v/>
      </c>
    </row>
    <row r="567" spans="1:15" ht="18" hidden="1" customHeight="1" x14ac:dyDescent="0.2">
      <c r="A567" s="9" t="s">
        <v>1202</v>
      </c>
      <c r="B567" t="s">
        <v>1205</v>
      </c>
      <c r="C567" s="23" t="s">
        <v>1258</v>
      </c>
      <c r="E567" s="11" t="s">
        <v>1186</v>
      </c>
      <c r="F567" s="67" t="s">
        <v>851</v>
      </c>
      <c r="G567" s="75"/>
      <c r="H567" s="58"/>
      <c r="I567" s="1"/>
      <c r="J567" s="23"/>
      <c r="K567" s="23"/>
      <c r="L567" s="1"/>
      <c r="M567" s="1"/>
      <c r="N567" s="107"/>
    </row>
    <row r="568" spans="1:15" ht="18" hidden="1" customHeight="1" x14ac:dyDescent="0.2">
      <c r="A568" s="9" t="s">
        <v>1202</v>
      </c>
      <c r="B568" s="9" t="s">
        <v>1205</v>
      </c>
      <c r="C568" s="76" t="s">
        <v>1259</v>
      </c>
      <c r="D568" s="9"/>
      <c r="E568" s="77" t="s">
        <v>1186</v>
      </c>
      <c r="F568" s="78">
        <v>2307</v>
      </c>
      <c r="G568" s="79"/>
      <c r="H568" s="93"/>
      <c r="I568" s="80" t="s">
        <v>610</v>
      </c>
      <c r="J568" s="81">
        <v>24344</v>
      </c>
      <c r="K568" s="81">
        <v>42974</v>
      </c>
      <c r="L568" s="80" t="s">
        <v>23</v>
      </c>
      <c r="M568" s="80"/>
      <c r="N568" s="107" t="str">
        <f>IF(_xlfn.NUMBERVALUE(DATEDIF(J568,K568,"Y"))-Table1[[#This Row],[Κατηγορία]]&lt;0,"* Check Age *","")</f>
        <v/>
      </c>
      <c r="O568" s="9"/>
    </row>
    <row r="569" spans="1:15" ht="18" hidden="1" customHeight="1" x14ac:dyDescent="0.2">
      <c r="A569" s="9" t="s">
        <v>1202</v>
      </c>
      <c r="B569" s="9" t="s">
        <v>1205</v>
      </c>
      <c r="C569" s="76" t="s">
        <v>1259</v>
      </c>
      <c r="D569" s="9"/>
      <c r="E569" s="77" t="s">
        <v>1186</v>
      </c>
      <c r="F569" s="82" t="s">
        <v>706</v>
      </c>
      <c r="G569" s="80"/>
      <c r="H569" s="93"/>
      <c r="I569" s="80"/>
      <c r="J569" s="76"/>
      <c r="K569" s="76"/>
      <c r="L569" s="80"/>
      <c r="M569" s="80"/>
      <c r="N569" s="107"/>
      <c r="O569" s="9"/>
    </row>
    <row r="570" spans="1:15" ht="18" hidden="1" customHeight="1" x14ac:dyDescent="0.2">
      <c r="A570" s="9" t="s">
        <v>1202</v>
      </c>
      <c r="B570" s="9" t="s">
        <v>1205</v>
      </c>
      <c r="C570" s="76" t="s">
        <v>1259</v>
      </c>
      <c r="D570" s="9"/>
      <c r="E570" s="77" t="s">
        <v>1186</v>
      </c>
      <c r="F570" s="82" t="s">
        <v>720</v>
      </c>
      <c r="G570" s="80"/>
      <c r="H570" s="93"/>
      <c r="I570" s="80" t="s">
        <v>564</v>
      </c>
      <c r="J570" s="76"/>
      <c r="K570" s="76">
        <v>1994</v>
      </c>
      <c r="L570" s="80" t="s">
        <v>44</v>
      </c>
      <c r="M570" s="80"/>
      <c r="N570" s="107"/>
      <c r="O570" s="9"/>
    </row>
    <row r="571" spans="1:15" ht="18" hidden="1" customHeight="1" x14ac:dyDescent="0.2">
      <c r="A571" s="9" t="s">
        <v>1202</v>
      </c>
      <c r="B571" t="s">
        <v>1205</v>
      </c>
      <c r="C571" s="23" t="s">
        <v>1260</v>
      </c>
      <c r="E571" s="11" t="s">
        <v>1186</v>
      </c>
      <c r="F571" s="67">
        <v>4463</v>
      </c>
      <c r="G571" s="75"/>
      <c r="H571" s="58"/>
      <c r="I571" s="1" t="s">
        <v>538</v>
      </c>
      <c r="J571" s="15">
        <v>24543</v>
      </c>
      <c r="K571" s="15">
        <v>45445</v>
      </c>
      <c r="L571" s="1" t="s">
        <v>23</v>
      </c>
      <c r="M571" s="1" t="s">
        <v>753</v>
      </c>
      <c r="N571" s="107" t="str">
        <f>IF(_xlfn.NUMBERVALUE(DATEDIF(J571,K571,"Y"))-Table1[[#This Row],[Κατηγορία]]&lt;0,"* Check Age *","")</f>
        <v/>
      </c>
    </row>
    <row r="572" spans="1:15" ht="18" hidden="1" customHeight="1" x14ac:dyDescent="0.2">
      <c r="A572" s="9" t="s">
        <v>1202</v>
      </c>
      <c r="B572" t="s">
        <v>1205</v>
      </c>
      <c r="C572" s="23" t="s">
        <v>1260</v>
      </c>
      <c r="E572" s="11" t="s">
        <v>1186</v>
      </c>
      <c r="F572" s="57" t="s">
        <v>1050</v>
      </c>
      <c r="G572" s="1"/>
      <c r="H572" s="58"/>
      <c r="I572" s="1"/>
      <c r="J572" s="23"/>
      <c r="K572" s="23"/>
      <c r="L572" s="1"/>
      <c r="M572" s="1"/>
      <c r="N572" s="107"/>
    </row>
    <row r="573" spans="1:15" ht="18" hidden="1" customHeight="1" x14ac:dyDescent="0.2">
      <c r="A573" s="9" t="s">
        <v>1202</v>
      </c>
      <c r="B573" t="s">
        <v>1205</v>
      </c>
      <c r="C573" s="23" t="s">
        <v>1261</v>
      </c>
      <c r="E573" s="11" t="s">
        <v>1186</v>
      </c>
      <c r="F573" s="67">
        <v>3236</v>
      </c>
      <c r="G573" s="75"/>
      <c r="H573" s="58"/>
      <c r="I573" s="1" t="s">
        <v>543</v>
      </c>
      <c r="J573" s="15">
        <v>16444</v>
      </c>
      <c r="K573" s="23">
        <v>2005</v>
      </c>
      <c r="L573" s="1" t="s">
        <v>611</v>
      </c>
      <c r="M573" s="1" t="s">
        <v>85</v>
      </c>
      <c r="N573" s="107"/>
    </row>
    <row r="574" spans="1:15" ht="18" hidden="1" customHeight="1" x14ac:dyDescent="0.2">
      <c r="A574" s="9" t="s">
        <v>1202</v>
      </c>
      <c r="B574" t="s">
        <v>1205</v>
      </c>
      <c r="C574" s="23" t="s">
        <v>1261</v>
      </c>
      <c r="E574" s="11" t="s">
        <v>1186</v>
      </c>
      <c r="F574" s="67" t="s">
        <v>721</v>
      </c>
      <c r="G574" s="75"/>
      <c r="H574" s="58"/>
      <c r="I574" s="1"/>
      <c r="J574" s="23"/>
      <c r="K574" s="23"/>
      <c r="L574" s="1"/>
      <c r="M574" s="1"/>
      <c r="N574" s="107"/>
    </row>
    <row r="575" spans="1:15" ht="18" hidden="1" customHeight="1" x14ac:dyDescent="0.2">
      <c r="A575" s="9" t="s">
        <v>1202</v>
      </c>
      <c r="B575" t="s">
        <v>1205</v>
      </c>
      <c r="C575" s="23" t="s">
        <v>1262</v>
      </c>
      <c r="E575" s="11" t="s">
        <v>1186</v>
      </c>
      <c r="F575" s="67">
        <v>3560</v>
      </c>
      <c r="G575" s="75"/>
      <c r="H575" s="58"/>
      <c r="I575" s="1" t="s">
        <v>543</v>
      </c>
      <c r="J575" s="15">
        <v>16444</v>
      </c>
      <c r="K575" s="15">
        <v>40377</v>
      </c>
      <c r="L575" s="1" t="s">
        <v>89</v>
      </c>
      <c r="M575" s="1" t="s">
        <v>79</v>
      </c>
      <c r="N575" s="107" t="str">
        <f>IF(_xlfn.NUMBERVALUE(DATEDIF(J575,K575,"Y"))-Table1[[#This Row],[Κατηγορία]]&lt;0,"* Check Age *","")</f>
        <v/>
      </c>
    </row>
    <row r="576" spans="1:15" ht="18" hidden="1" customHeight="1" x14ac:dyDescent="0.2">
      <c r="A576" s="9" t="s">
        <v>1202</v>
      </c>
      <c r="B576" t="s">
        <v>1205</v>
      </c>
      <c r="C576" s="23" t="s">
        <v>1262</v>
      </c>
      <c r="E576" s="11" t="s">
        <v>1186</v>
      </c>
      <c r="F576" s="57" t="s">
        <v>707</v>
      </c>
      <c r="G576" s="1"/>
      <c r="H576" s="58"/>
      <c r="I576" s="1"/>
      <c r="J576" s="23"/>
      <c r="K576" s="23"/>
      <c r="L576" s="1"/>
      <c r="M576" s="1"/>
      <c r="N576" s="107"/>
    </row>
    <row r="577" spans="1:14" ht="18" hidden="1" customHeight="1" x14ac:dyDescent="0.2">
      <c r="A577" s="9" t="s">
        <v>1155</v>
      </c>
      <c r="B577" s="9" t="s">
        <v>184</v>
      </c>
      <c r="C577" s="12" t="s">
        <v>1256</v>
      </c>
      <c r="D577" s="9"/>
      <c r="E577" s="11" t="s">
        <v>1186</v>
      </c>
      <c r="F577" s="52" t="s">
        <v>185</v>
      </c>
      <c r="I577" t="s">
        <v>142</v>
      </c>
      <c r="J577" s="10">
        <v>22859</v>
      </c>
      <c r="K577" s="11">
        <v>1998</v>
      </c>
      <c r="L577" t="s">
        <v>186</v>
      </c>
      <c r="N577" s="107"/>
    </row>
    <row r="578" spans="1:14" ht="18" hidden="1" customHeight="1" x14ac:dyDescent="0.2">
      <c r="A578" s="9" t="s">
        <v>1155</v>
      </c>
      <c r="B578" s="9" t="s">
        <v>184</v>
      </c>
      <c r="C578" s="23" t="s">
        <v>1257</v>
      </c>
      <c r="D578" s="9"/>
      <c r="E578" s="11" t="s">
        <v>1186</v>
      </c>
      <c r="F578" s="57" t="s">
        <v>194</v>
      </c>
      <c r="G578" s="1"/>
      <c r="H578" s="58"/>
      <c r="I578" s="1" t="s">
        <v>195</v>
      </c>
      <c r="J578" s="54">
        <v>27556</v>
      </c>
      <c r="K578" s="58">
        <v>2018</v>
      </c>
      <c r="L578" s="1" t="s">
        <v>44</v>
      </c>
      <c r="M578" t="s">
        <v>155</v>
      </c>
      <c r="N578" s="107"/>
    </row>
    <row r="579" spans="1:14" ht="18" hidden="1" customHeight="1" x14ac:dyDescent="0.2">
      <c r="A579" s="9" t="s">
        <v>1155</v>
      </c>
      <c r="B579" s="9" t="s">
        <v>184</v>
      </c>
      <c r="C579" s="12" t="s">
        <v>1258</v>
      </c>
      <c r="D579" s="9"/>
      <c r="E579" s="11" t="s">
        <v>1186</v>
      </c>
      <c r="F579" s="52" t="s">
        <v>942</v>
      </c>
      <c r="H579" s="91"/>
      <c r="I579" t="s">
        <v>172</v>
      </c>
      <c r="J579" s="10">
        <v>26471</v>
      </c>
      <c r="K579" s="10">
        <v>44668</v>
      </c>
      <c r="L579" t="s">
        <v>943</v>
      </c>
      <c r="M579" t="s">
        <v>945</v>
      </c>
      <c r="N579" s="107" t="str">
        <f>IF(_xlfn.NUMBERVALUE(DATEDIF(J579,K579,"Y"))-Table1[[#This Row],[Κατηγορία]]&lt;0,"* Check Age *","")</f>
        <v/>
      </c>
    </row>
    <row r="580" spans="1:14" ht="18" hidden="1" customHeight="1" x14ac:dyDescent="0.2">
      <c r="A580" s="9" t="s">
        <v>1155</v>
      </c>
      <c r="B580" s="9" t="s">
        <v>184</v>
      </c>
      <c r="C580" s="12" t="s">
        <v>1259</v>
      </c>
      <c r="D580" s="9"/>
      <c r="E580" s="11" t="s">
        <v>1186</v>
      </c>
      <c r="F580" s="52" t="s">
        <v>944</v>
      </c>
      <c r="I580" t="s">
        <v>172</v>
      </c>
      <c r="J580" s="10">
        <v>26471</v>
      </c>
      <c r="K580" s="10">
        <v>44990</v>
      </c>
      <c r="L580" t="s">
        <v>943</v>
      </c>
      <c r="M580" t="s">
        <v>945</v>
      </c>
      <c r="N580" s="107" t="str">
        <f>IF(_xlfn.NUMBERVALUE(DATEDIF(J580,K580,"Y"))-Table1[[#This Row],[Κατηγορία]]&lt;0,"* Check Age *","")</f>
        <v/>
      </c>
    </row>
    <row r="581" spans="1:14" ht="18" hidden="1" customHeight="1" x14ac:dyDescent="0.2">
      <c r="A581" s="9" t="s">
        <v>1155</v>
      </c>
      <c r="B581" s="9" t="s">
        <v>184</v>
      </c>
      <c r="C581" s="23" t="s">
        <v>1260</v>
      </c>
      <c r="D581" s="9"/>
      <c r="E581" s="11" t="s">
        <v>1186</v>
      </c>
      <c r="F581" s="57" t="s">
        <v>806</v>
      </c>
      <c r="G581" s="1"/>
      <c r="H581" s="58"/>
      <c r="I581" t="s">
        <v>1066</v>
      </c>
      <c r="J581" s="10">
        <v>24440</v>
      </c>
      <c r="K581" s="54">
        <v>44640</v>
      </c>
      <c r="L581" t="s">
        <v>44</v>
      </c>
      <c r="M581" t="s">
        <v>155</v>
      </c>
      <c r="N581" s="107" t="str">
        <f>IF(_xlfn.NUMBERVALUE(DATEDIF(J581,K581,"Y"))-Table1[[#This Row],[Κατηγορία]]&lt;0,"* Check Age *","")</f>
        <v/>
      </c>
    </row>
    <row r="582" spans="1:14" ht="18" hidden="1" customHeight="1" x14ac:dyDescent="0.2">
      <c r="A582" s="9" t="s">
        <v>1155</v>
      </c>
      <c r="B582" s="9" t="s">
        <v>184</v>
      </c>
      <c r="C582" s="12" t="s">
        <v>1261</v>
      </c>
      <c r="D582" s="9"/>
      <c r="E582" s="11" t="s">
        <v>1186</v>
      </c>
      <c r="F582" s="52" t="s">
        <v>1130</v>
      </c>
      <c r="I582" t="s">
        <v>160</v>
      </c>
      <c r="J582" s="10">
        <v>23743</v>
      </c>
      <c r="K582" s="10">
        <v>45725</v>
      </c>
      <c r="L582" t="s">
        <v>145</v>
      </c>
      <c r="M582" t="s">
        <v>1151</v>
      </c>
      <c r="N582" s="107" t="str">
        <f>IF(_xlfn.NUMBERVALUE(DATEDIF(J582,K582,"Y"))-Table1[[#This Row],[Κατηγορία]]&lt;0,"* Check Age *","")</f>
        <v/>
      </c>
    </row>
    <row r="583" spans="1:14" ht="18" hidden="1" customHeight="1" x14ac:dyDescent="0.2">
      <c r="A583" s="9" t="s">
        <v>1155</v>
      </c>
      <c r="B583" s="9" t="s">
        <v>184</v>
      </c>
      <c r="C583" s="12" t="s">
        <v>1262</v>
      </c>
      <c r="D583" s="9"/>
      <c r="E583" s="11" t="s">
        <v>1186</v>
      </c>
      <c r="F583" s="52" t="s">
        <v>1439</v>
      </c>
      <c r="I583" t="s">
        <v>1210</v>
      </c>
      <c r="J583" s="10">
        <v>21774</v>
      </c>
      <c r="K583" s="10">
        <v>45948</v>
      </c>
      <c r="L583" s="59" t="s">
        <v>95</v>
      </c>
      <c r="M583" s="1" t="s">
        <v>1440</v>
      </c>
      <c r="N583" s="107" t="str">
        <f>IF(_xlfn.NUMBERVALUE(DATEDIF(J583,K583,"Y"))-Table1[[#This Row],[Κατηγορία]]&lt;0,"* Check Age *","")</f>
        <v/>
      </c>
    </row>
    <row r="584" spans="1:14" ht="18" hidden="1" customHeight="1" x14ac:dyDescent="0.2">
      <c r="A584" s="9" t="s">
        <v>1155</v>
      </c>
      <c r="B584" s="9" t="s">
        <v>184</v>
      </c>
      <c r="C584" s="12" t="s">
        <v>1263</v>
      </c>
      <c r="D584" s="9"/>
      <c r="E584" s="11" t="s">
        <v>1186</v>
      </c>
      <c r="F584" s="52" t="s">
        <v>198</v>
      </c>
      <c r="I584" t="s">
        <v>100</v>
      </c>
      <c r="J584" s="10">
        <v>12320</v>
      </c>
      <c r="K584" s="11">
        <v>2003</v>
      </c>
      <c r="L584" t="s">
        <v>145</v>
      </c>
      <c r="N584" s="107"/>
    </row>
    <row r="585" spans="1:14" ht="18" hidden="1" customHeight="1" x14ac:dyDescent="0.2">
      <c r="A585" s="9" t="s">
        <v>1155</v>
      </c>
      <c r="B585" s="9" t="s">
        <v>184</v>
      </c>
      <c r="C585" s="12" t="s">
        <v>1264</v>
      </c>
      <c r="D585" s="9"/>
      <c r="E585" s="11" t="s">
        <v>1186</v>
      </c>
      <c r="F585" s="52" t="s">
        <v>192</v>
      </c>
      <c r="I585" t="s">
        <v>193</v>
      </c>
      <c r="J585" s="11">
        <v>1941</v>
      </c>
      <c r="K585" s="11">
        <v>2017</v>
      </c>
      <c r="L585" t="s">
        <v>44</v>
      </c>
      <c r="N585" s="107"/>
    </row>
    <row r="586" spans="1:14" ht="18" hidden="1" customHeight="1" x14ac:dyDescent="0.2">
      <c r="A586" s="9" t="s">
        <v>1155</v>
      </c>
      <c r="B586" s="9" t="s">
        <v>184</v>
      </c>
      <c r="C586" s="12" t="s">
        <v>1265</v>
      </c>
      <c r="D586" s="9"/>
      <c r="E586" s="11" t="s">
        <v>1186</v>
      </c>
      <c r="F586" s="52" t="s">
        <v>563</v>
      </c>
      <c r="I586" t="s">
        <v>188</v>
      </c>
      <c r="J586" s="10">
        <v>11619</v>
      </c>
      <c r="M586" s="60"/>
      <c r="N586" s="107"/>
    </row>
    <row r="587" spans="1:14" ht="18" hidden="1" customHeight="1" x14ac:dyDescent="0.2">
      <c r="A587" s="9" t="s">
        <v>1155</v>
      </c>
      <c r="B587" s="9" t="s">
        <v>184</v>
      </c>
      <c r="C587" s="12" t="s">
        <v>1266</v>
      </c>
      <c r="D587" s="9"/>
      <c r="E587" s="11" t="s">
        <v>1186</v>
      </c>
      <c r="F587" s="52" t="s">
        <v>187</v>
      </c>
      <c r="I587" t="s">
        <v>188</v>
      </c>
      <c r="J587" s="10">
        <v>11619</v>
      </c>
      <c r="K587" s="10">
        <v>42988</v>
      </c>
      <c r="L587" t="s">
        <v>189</v>
      </c>
      <c r="M587" t="s">
        <v>875</v>
      </c>
      <c r="N587" s="107" t="str">
        <f>IF(_xlfn.NUMBERVALUE(DATEDIF(J587,K587,"Y"))-Table1[[#This Row],[Κατηγορία]]&lt;0,"* Check Age *","")</f>
        <v/>
      </c>
    </row>
    <row r="588" spans="1:14" ht="18" hidden="1" customHeight="1" x14ac:dyDescent="0.2">
      <c r="A588" s="9" t="s">
        <v>1202</v>
      </c>
      <c r="B588" s="9" t="s">
        <v>184</v>
      </c>
      <c r="C588" s="23" t="s">
        <v>1256</v>
      </c>
      <c r="D588" s="9"/>
      <c r="E588" s="11" t="s">
        <v>1186</v>
      </c>
      <c r="F588" s="57" t="s">
        <v>599</v>
      </c>
      <c r="G588" s="1"/>
      <c r="H588" s="58"/>
      <c r="I588" s="1" t="s">
        <v>600</v>
      </c>
      <c r="J588" s="23">
        <v>1977</v>
      </c>
      <c r="K588" s="23">
        <v>2013</v>
      </c>
      <c r="L588" s="1" t="s">
        <v>95</v>
      </c>
      <c r="M588" s="1"/>
      <c r="N588" s="107"/>
    </row>
    <row r="589" spans="1:14" ht="18" hidden="1" customHeight="1" x14ac:dyDescent="0.2">
      <c r="A589" s="9" t="s">
        <v>1202</v>
      </c>
      <c r="B589" s="9" t="s">
        <v>184</v>
      </c>
      <c r="C589" s="23" t="s">
        <v>1257</v>
      </c>
      <c r="D589" s="9"/>
      <c r="E589" s="11" t="s">
        <v>1186</v>
      </c>
      <c r="F589" s="57" t="s">
        <v>995</v>
      </c>
      <c r="G589" s="1"/>
      <c r="H589" s="58"/>
      <c r="I589" s="1" t="s">
        <v>990</v>
      </c>
      <c r="J589" s="23">
        <v>1982</v>
      </c>
      <c r="K589" s="15">
        <v>45220</v>
      </c>
      <c r="L589" s="1" t="s">
        <v>130</v>
      </c>
      <c r="M589" s="1" t="s">
        <v>991</v>
      </c>
      <c r="N589" s="107" t="str">
        <f>IF(_xlfn.NUMBERVALUE(DATEDIF(J589,K589,"Y"))-Table1[[#This Row],[Κατηγορία]]&lt;0,"* Check Age *","")</f>
        <v/>
      </c>
    </row>
    <row r="590" spans="1:14" ht="18" hidden="1" customHeight="1" x14ac:dyDescent="0.2">
      <c r="A590" s="9" t="s">
        <v>1202</v>
      </c>
      <c r="B590" s="9" t="s">
        <v>184</v>
      </c>
      <c r="C590" s="23" t="s">
        <v>1258</v>
      </c>
      <c r="D590" s="9"/>
      <c r="E590" s="11" t="s">
        <v>1186</v>
      </c>
      <c r="F590" s="57" t="s">
        <v>1110</v>
      </c>
      <c r="G590" s="1"/>
      <c r="H590" s="92"/>
      <c r="I590" s="1" t="s">
        <v>988</v>
      </c>
      <c r="J590" s="15">
        <v>27948</v>
      </c>
      <c r="K590" s="15">
        <v>45584</v>
      </c>
      <c r="L590" s="1" t="s">
        <v>95</v>
      </c>
      <c r="M590" s="1" t="s">
        <v>1111</v>
      </c>
      <c r="N590" s="107" t="str">
        <f>IF(_xlfn.NUMBERVALUE(DATEDIF(J590,K590,"Y"))-Table1[[#This Row],[Κατηγορία]]&lt;0,"* Check Age *","")</f>
        <v/>
      </c>
    </row>
    <row r="591" spans="1:14" ht="18" hidden="1" customHeight="1" x14ac:dyDescent="0.2">
      <c r="A591" s="9" t="s">
        <v>1202</v>
      </c>
      <c r="B591" s="9" t="s">
        <v>184</v>
      </c>
      <c r="C591" s="23" t="s">
        <v>1259</v>
      </c>
      <c r="D591" s="9"/>
      <c r="E591" s="11" t="s">
        <v>1186</v>
      </c>
      <c r="F591" s="57" t="s">
        <v>997</v>
      </c>
      <c r="G591" s="1"/>
      <c r="H591" s="58"/>
      <c r="I591" s="1" t="s">
        <v>941</v>
      </c>
      <c r="J591" s="15">
        <v>25631</v>
      </c>
      <c r="K591" s="15">
        <v>45220</v>
      </c>
      <c r="L591" s="1" t="s">
        <v>95</v>
      </c>
      <c r="M591" s="1" t="s">
        <v>1014</v>
      </c>
      <c r="N591" s="107" t="str">
        <f>IF(_xlfn.NUMBERVALUE(DATEDIF(J591,K591,"Y"))-Table1[[#This Row],[Κατηγορία]]&lt;0,"* Check Age *","")</f>
        <v/>
      </c>
    </row>
    <row r="592" spans="1:14" ht="18" hidden="1" customHeight="1" x14ac:dyDescent="0.2">
      <c r="A592" s="9" t="s">
        <v>1202</v>
      </c>
      <c r="B592" s="9" t="s">
        <v>184</v>
      </c>
      <c r="C592" s="23" t="s">
        <v>1260</v>
      </c>
      <c r="D592" s="9"/>
      <c r="E592" s="11" t="s">
        <v>1186</v>
      </c>
      <c r="F592" s="57" t="s">
        <v>1406</v>
      </c>
      <c r="G592" s="1"/>
      <c r="H592" s="58"/>
      <c r="I592" s="1" t="s">
        <v>941</v>
      </c>
      <c r="J592" s="15">
        <v>25631</v>
      </c>
      <c r="K592" s="15">
        <v>45942</v>
      </c>
      <c r="L592" s="1" t="s">
        <v>35</v>
      </c>
      <c r="M592" s="1" t="s">
        <v>795</v>
      </c>
      <c r="N592" s="107" t="str">
        <f>IF(_xlfn.NUMBERVALUE(DATEDIF(J592,K592,"Y"))-Table1[[#This Row],[Κατηγορία]]&lt;0,"* Check Age *","")</f>
        <v/>
      </c>
    </row>
    <row r="593" spans="1:14" ht="18" hidden="1" customHeight="1" x14ac:dyDescent="0.2">
      <c r="A593" s="9" t="s">
        <v>1202</v>
      </c>
      <c r="B593" s="9" t="s">
        <v>184</v>
      </c>
      <c r="C593" s="23" t="s">
        <v>1261</v>
      </c>
      <c r="D593" s="9"/>
      <c r="E593" s="11" t="s">
        <v>1186</v>
      </c>
      <c r="F593" s="57" t="s">
        <v>1447</v>
      </c>
      <c r="G593" s="1"/>
      <c r="H593" s="58"/>
      <c r="I593" s="1" t="s">
        <v>796</v>
      </c>
      <c r="J593" s="15">
        <v>23773</v>
      </c>
      <c r="K593" s="15">
        <v>46040</v>
      </c>
      <c r="L593" s="1" t="s">
        <v>940</v>
      </c>
      <c r="M593" s="1" t="s">
        <v>1448</v>
      </c>
      <c r="N593" s="107" t="str">
        <f>IF(_xlfn.NUMBERVALUE(DATEDIF(J593,K593,"Y"))-Table1[[#This Row],[Κατηγορία]]&lt;0,"* Check Age *","")</f>
        <v/>
      </c>
    </row>
    <row r="594" spans="1:14" ht="18" hidden="1" customHeight="1" x14ac:dyDescent="0.2">
      <c r="A594" s="9" t="s">
        <v>1202</v>
      </c>
      <c r="B594" s="9" t="s">
        <v>184</v>
      </c>
      <c r="C594" s="23" t="s">
        <v>1262</v>
      </c>
      <c r="D594" s="9"/>
      <c r="E594" s="11" t="s">
        <v>1186</v>
      </c>
      <c r="F594" s="57" t="s">
        <v>998</v>
      </c>
      <c r="G594" s="1"/>
      <c r="H594" s="58"/>
      <c r="I594" s="1" t="s">
        <v>763</v>
      </c>
      <c r="J594" s="15">
        <v>19869</v>
      </c>
      <c r="K594" s="15">
        <v>45220</v>
      </c>
      <c r="L594" s="1" t="s">
        <v>95</v>
      </c>
      <c r="M594" s="1" t="s">
        <v>1014</v>
      </c>
      <c r="N594" s="107" t="str">
        <f>IF(_xlfn.NUMBERVALUE(DATEDIF(J594,K594,"Y"))-Table1[[#This Row],[Κατηγορία]]&lt;0,"* Check Age *","")</f>
        <v/>
      </c>
    </row>
    <row r="595" spans="1:14" ht="18" hidden="1" customHeight="1" x14ac:dyDescent="0.2">
      <c r="A595" s="9" t="s">
        <v>1202</v>
      </c>
      <c r="B595" s="9" t="s">
        <v>184</v>
      </c>
      <c r="C595" s="23" t="s">
        <v>1263</v>
      </c>
      <c r="D595" s="9"/>
      <c r="E595" s="11" t="s">
        <v>1186</v>
      </c>
      <c r="F595" s="57" t="s">
        <v>1112</v>
      </c>
      <c r="G595" s="1"/>
      <c r="H595" s="58"/>
      <c r="I595" s="1" t="s">
        <v>763</v>
      </c>
      <c r="J595" s="15">
        <v>19869</v>
      </c>
      <c r="K595" s="15">
        <v>45584</v>
      </c>
      <c r="L595" s="1" t="s">
        <v>95</v>
      </c>
      <c r="M595" s="1" t="s">
        <v>1111</v>
      </c>
      <c r="N595" s="107" t="str">
        <f>IF(_xlfn.NUMBERVALUE(DATEDIF(J595,K595,"Y"))-Table1[[#This Row],[Κατηγορία]]&lt;0,"* Check Age *","")</f>
        <v/>
      </c>
    </row>
    <row r="596" spans="1:14" ht="18" hidden="1" customHeight="1" x14ac:dyDescent="0.2">
      <c r="A596" s="9" t="s">
        <v>1202</v>
      </c>
      <c r="B596" s="9" t="s">
        <v>184</v>
      </c>
      <c r="C596" s="23" t="s">
        <v>1264</v>
      </c>
      <c r="D596" s="9"/>
      <c r="E596" s="11" t="s">
        <v>1186</v>
      </c>
      <c r="F596" s="57" t="s">
        <v>992</v>
      </c>
      <c r="G596" s="1"/>
      <c r="H596" s="58"/>
      <c r="I596" s="1" t="s">
        <v>602</v>
      </c>
      <c r="J596" s="15">
        <v>16952</v>
      </c>
      <c r="K596" s="15">
        <v>44849</v>
      </c>
      <c r="L596" s="1" t="s">
        <v>95</v>
      </c>
      <c r="M596" s="1" t="s">
        <v>1015</v>
      </c>
      <c r="N596" s="107" t="str">
        <f>IF(_xlfn.NUMBERVALUE(DATEDIF(J596,K596,"Y"))-Table1[[#This Row],[Κατηγορία]]&lt;0,"* Check Age *","")</f>
        <v/>
      </c>
    </row>
    <row r="597" spans="1:14" ht="18" hidden="1" customHeight="1" x14ac:dyDescent="0.2">
      <c r="A597" s="9" t="s">
        <v>1155</v>
      </c>
      <c r="B597" s="9" t="s">
        <v>199</v>
      </c>
      <c r="C597" s="12" t="s">
        <v>1256</v>
      </c>
      <c r="D597" s="9"/>
      <c r="E597" s="11" t="s">
        <v>1186</v>
      </c>
      <c r="F597" s="52" t="s">
        <v>200</v>
      </c>
      <c r="I597" t="s">
        <v>142</v>
      </c>
      <c r="J597" s="10">
        <v>22859</v>
      </c>
      <c r="K597" s="11">
        <v>1997</v>
      </c>
      <c r="L597" t="s">
        <v>201</v>
      </c>
      <c r="N597" s="107"/>
    </row>
    <row r="598" spans="1:14" ht="18" hidden="1" customHeight="1" x14ac:dyDescent="0.2">
      <c r="A598" s="9" t="s">
        <v>1155</v>
      </c>
      <c r="B598" s="9" t="s">
        <v>199</v>
      </c>
      <c r="C598" s="12" t="s">
        <v>1257</v>
      </c>
      <c r="D598" s="9"/>
      <c r="E598" s="11" t="s">
        <v>1186</v>
      </c>
      <c r="F598" s="52" t="s">
        <v>1034</v>
      </c>
      <c r="I598" t="s">
        <v>1035</v>
      </c>
      <c r="J598" s="10">
        <v>30296</v>
      </c>
      <c r="K598" s="10">
        <v>45403</v>
      </c>
      <c r="L598" t="s">
        <v>95</v>
      </c>
      <c r="M598" t="s">
        <v>810</v>
      </c>
      <c r="N598" s="107" t="str">
        <f>IF(_xlfn.NUMBERVALUE(DATEDIF(J598,K598,"Y"))-Table1[[#This Row],[Κατηγορία]]&lt;0,"* Check Age *","")</f>
        <v/>
      </c>
    </row>
    <row r="599" spans="1:14" ht="18" hidden="1" customHeight="1" x14ac:dyDescent="0.2">
      <c r="A599" s="9" t="s">
        <v>1155</v>
      </c>
      <c r="B599" s="9" t="s">
        <v>199</v>
      </c>
      <c r="C599" s="12" t="s">
        <v>1258</v>
      </c>
      <c r="D599" s="9"/>
      <c r="E599" s="11" t="s">
        <v>1186</v>
      </c>
      <c r="F599" s="52" t="s">
        <v>930</v>
      </c>
      <c r="H599" s="91"/>
      <c r="I599" t="s">
        <v>202</v>
      </c>
      <c r="J599" s="10">
        <v>28030</v>
      </c>
      <c r="K599" s="10">
        <v>44899</v>
      </c>
      <c r="L599" t="s">
        <v>931</v>
      </c>
      <c r="M599" t="s">
        <v>795</v>
      </c>
      <c r="N599" s="107" t="str">
        <f>IF(_xlfn.NUMBERVALUE(DATEDIF(J599,K599,"Y"))-Table1[[#This Row],[Κατηγορία]]&lt;0,"* Check Age *","")</f>
        <v/>
      </c>
    </row>
    <row r="600" spans="1:14" ht="18" hidden="1" customHeight="1" x14ac:dyDescent="0.2">
      <c r="A600" s="9" t="s">
        <v>1155</v>
      </c>
      <c r="B600" s="9" t="s">
        <v>199</v>
      </c>
      <c r="C600" s="12" t="s">
        <v>1259</v>
      </c>
      <c r="D600" s="9"/>
      <c r="E600" s="11" t="s">
        <v>1186</v>
      </c>
      <c r="F600" s="52" t="s">
        <v>1442</v>
      </c>
      <c r="I600" t="s">
        <v>1443</v>
      </c>
      <c r="J600" s="10">
        <v>27516</v>
      </c>
      <c r="K600" s="10">
        <v>45998</v>
      </c>
      <c r="L600" t="s">
        <v>931</v>
      </c>
      <c r="M600" t="s">
        <v>795</v>
      </c>
      <c r="N600" s="107" t="str">
        <f>IF(_xlfn.NUMBERVALUE(DATEDIF(J600,K600,"Y"))-Table1[[#This Row],[Κατηγορία]]&lt;0,"* Check Age *","")</f>
        <v/>
      </c>
    </row>
    <row r="601" spans="1:14" ht="18" hidden="1" customHeight="1" x14ac:dyDescent="0.2">
      <c r="A601" s="9" t="s">
        <v>1155</v>
      </c>
      <c r="B601" s="9" t="s">
        <v>199</v>
      </c>
      <c r="C601" s="12" t="s">
        <v>1260</v>
      </c>
      <c r="D601" s="9"/>
      <c r="E601" s="11" t="s">
        <v>1186</v>
      </c>
      <c r="F601" s="52" t="s">
        <v>808</v>
      </c>
      <c r="I601" t="s">
        <v>809</v>
      </c>
      <c r="J601" s="10">
        <v>24348</v>
      </c>
      <c r="K601" s="10">
        <v>44661</v>
      </c>
      <c r="L601" t="s">
        <v>95</v>
      </c>
      <c r="M601" t="s">
        <v>810</v>
      </c>
      <c r="N601" s="107" t="str">
        <f>IF(_xlfn.NUMBERVALUE(DATEDIF(J601,K601,"Y"))-Table1[[#This Row],[Κατηγορία]]&lt;0,"* Check Age *","")</f>
        <v/>
      </c>
    </row>
    <row r="602" spans="1:14" ht="18" hidden="1" customHeight="1" x14ac:dyDescent="0.2">
      <c r="A602" s="9" t="s">
        <v>1155</v>
      </c>
      <c r="B602" s="9" t="s">
        <v>199</v>
      </c>
      <c r="C602" s="12" t="s">
        <v>1261</v>
      </c>
      <c r="D602" s="9"/>
      <c r="E602" s="11" t="s">
        <v>1186</v>
      </c>
      <c r="F602" s="52" t="s">
        <v>1376</v>
      </c>
      <c r="I602" t="s">
        <v>1377</v>
      </c>
      <c r="J602" s="10">
        <v>23831</v>
      </c>
      <c r="K602" s="10">
        <v>45949</v>
      </c>
      <c r="L602" t="s">
        <v>205</v>
      </c>
      <c r="M602" t="s">
        <v>795</v>
      </c>
      <c r="N602" s="107" t="str">
        <f>IF(_xlfn.NUMBERVALUE(DATEDIF(J602,K602,"Y"))-Table1[[#This Row],[Κατηγορία]]&lt;0,"* Check Age *","")</f>
        <v/>
      </c>
    </row>
    <row r="603" spans="1:14" ht="18" hidden="1" customHeight="1" x14ac:dyDescent="0.2">
      <c r="A603" s="9" t="s">
        <v>1155</v>
      </c>
      <c r="B603" s="9" t="s">
        <v>199</v>
      </c>
      <c r="C603" s="12" t="s">
        <v>1262</v>
      </c>
      <c r="D603" s="9"/>
      <c r="E603" s="11" t="s">
        <v>1186</v>
      </c>
      <c r="F603" s="52" t="s">
        <v>1211</v>
      </c>
      <c r="I603" t="s">
        <v>1210</v>
      </c>
      <c r="J603" s="10">
        <v>21774</v>
      </c>
      <c r="K603" s="10">
        <v>45753</v>
      </c>
      <c r="L603" t="s">
        <v>95</v>
      </c>
      <c r="M603" t="s">
        <v>876</v>
      </c>
      <c r="N603" s="107" t="str">
        <f>IF(_xlfn.NUMBERVALUE(DATEDIF(J603,K603,"Y"))-Table1[[#This Row],[Κατηγορία]]&lt;0,"* Check Age *","")</f>
        <v/>
      </c>
    </row>
    <row r="604" spans="1:14" ht="18" hidden="1" customHeight="1" x14ac:dyDescent="0.2">
      <c r="A604" s="9" t="s">
        <v>1155</v>
      </c>
      <c r="B604" s="9" t="s">
        <v>199</v>
      </c>
      <c r="C604" s="12" t="s">
        <v>1263</v>
      </c>
      <c r="D604" s="9"/>
      <c r="E604" s="11" t="s">
        <v>1186</v>
      </c>
      <c r="F604" s="52" t="s">
        <v>562</v>
      </c>
      <c r="I604" t="s">
        <v>375</v>
      </c>
      <c r="J604" s="10">
        <v>16942</v>
      </c>
      <c r="K604" s="11">
        <v>2017</v>
      </c>
      <c r="L604" t="s">
        <v>95</v>
      </c>
      <c r="M604" t="s">
        <v>795</v>
      </c>
      <c r="N604" s="107"/>
    </row>
    <row r="605" spans="1:14" ht="18" hidden="1" customHeight="1" x14ac:dyDescent="0.2">
      <c r="A605" s="9" t="s">
        <v>1155</v>
      </c>
      <c r="B605" s="9" t="s">
        <v>199</v>
      </c>
      <c r="C605" s="12" t="s">
        <v>1264</v>
      </c>
      <c r="D605" s="9"/>
      <c r="E605" s="11" t="s">
        <v>1186</v>
      </c>
      <c r="F605" s="52" t="s">
        <v>203</v>
      </c>
      <c r="I605" t="s">
        <v>100</v>
      </c>
      <c r="J605" s="10">
        <v>12320</v>
      </c>
      <c r="K605" s="11">
        <v>2009</v>
      </c>
      <c r="L605" t="s">
        <v>44</v>
      </c>
      <c r="N605" s="107"/>
    </row>
    <row r="606" spans="1:14" ht="18" hidden="1" customHeight="1" x14ac:dyDescent="0.2">
      <c r="A606" s="9" t="s">
        <v>1155</v>
      </c>
      <c r="B606" s="9" t="s">
        <v>199</v>
      </c>
      <c r="C606" s="12" t="s">
        <v>1265</v>
      </c>
      <c r="D606" s="9"/>
      <c r="E606" s="11" t="s">
        <v>1186</v>
      </c>
      <c r="F606" s="52" t="s">
        <v>807</v>
      </c>
      <c r="I606" t="s">
        <v>188</v>
      </c>
      <c r="J606" s="10">
        <v>11619</v>
      </c>
      <c r="K606" s="11">
        <v>2014</v>
      </c>
      <c r="L606" t="s">
        <v>44</v>
      </c>
      <c r="N606" s="107"/>
    </row>
    <row r="607" spans="1:14" ht="18" hidden="1" customHeight="1" x14ac:dyDescent="0.2">
      <c r="A607" s="9" t="s">
        <v>1155</v>
      </c>
      <c r="B607" s="9" t="s">
        <v>199</v>
      </c>
      <c r="C607" s="12" t="s">
        <v>1266</v>
      </c>
      <c r="D607" s="9"/>
      <c r="E607" s="11" t="s">
        <v>1186</v>
      </c>
      <c r="F607" s="52" t="s">
        <v>204</v>
      </c>
      <c r="I607" t="s">
        <v>188</v>
      </c>
      <c r="J607" s="10">
        <v>11619</v>
      </c>
      <c r="K607" s="10">
        <v>42687</v>
      </c>
      <c r="L607" t="s">
        <v>44</v>
      </c>
      <c r="M607" t="s">
        <v>876</v>
      </c>
      <c r="N607" s="107" t="str">
        <f>IF(_xlfn.NUMBERVALUE(DATEDIF(J607,K607,"Y"))-Table1[[#This Row],[Κατηγορία]]&lt;0,"* Check Age *","")</f>
        <v/>
      </c>
    </row>
    <row r="608" spans="1:14" ht="18" hidden="1" customHeight="1" x14ac:dyDescent="0.2">
      <c r="A608" s="9" t="s">
        <v>1155</v>
      </c>
      <c r="B608" s="9" t="s">
        <v>199</v>
      </c>
      <c r="C608" s="12" t="s">
        <v>1267</v>
      </c>
      <c r="D608" s="9"/>
      <c r="E608" s="11" t="s">
        <v>1186</v>
      </c>
      <c r="F608" s="52" t="s">
        <v>799</v>
      </c>
      <c r="I608" t="s">
        <v>140</v>
      </c>
      <c r="J608" s="10">
        <v>11632</v>
      </c>
      <c r="K608" s="10">
        <v>44514</v>
      </c>
      <c r="L608" t="s">
        <v>44</v>
      </c>
      <c r="M608" t="s">
        <v>876</v>
      </c>
      <c r="N608" s="107" t="str">
        <f>IF(_xlfn.NUMBERVALUE(DATEDIF(J608,K608,"Y"))-Table1[[#This Row],[Κατηγορία]]&lt;0,"* Check Age *","")</f>
        <v/>
      </c>
    </row>
    <row r="609" spans="1:14" ht="18" hidden="1" customHeight="1" x14ac:dyDescent="0.2">
      <c r="A609" s="9" t="s">
        <v>1202</v>
      </c>
      <c r="B609" s="9" t="s">
        <v>199</v>
      </c>
      <c r="C609" s="23" t="s">
        <v>1256</v>
      </c>
      <c r="D609" s="9"/>
      <c r="E609" s="11" t="s">
        <v>1186</v>
      </c>
      <c r="F609" s="57" t="s">
        <v>1032</v>
      </c>
      <c r="G609" s="1"/>
      <c r="H609" s="58"/>
      <c r="I609" s="1" t="s">
        <v>1033</v>
      </c>
      <c r="J609" s="15">
        <v>32342</v>
      </c>
      <c r="K609" s="15">
        <v>45396</v>
      </c>
      <c r="L609" s="1" t="s">
        <v>603</v>
      </c>
      <c r="M609" s="1" t="s">
        <v>795</v>
      </c>
      <c r="N609" s="107" t="str">
        <f>IF(_xlfn.NUMBERVALUE(DATEDIF(J609,K609,"Y"))-Table1[[#This Row],[Κατηγορία]]&lt;0,"* Check Age *","")</f>
        <v/>
      </c>
    </row>
    <row r="610" spans="1:14" ht="18" hidden="1" customHeight="1" x14ac:dyDescent="0.2">
      <c r="A610" s="9" t="s">
        <v>1202</v>
      </c>
      <c r="B610" s="9" t="s">
        <v>199</v>
      </c>
      <c r="C610" s="23" t="s">
        <v>1257</v>
      </c>
      <c r="D610" s="9"/>
      <c r="E610" s="11" t="s">
        <v>1186</v>
      </c>
      <c r="F610" s="57" t="s">
        <v>604</v>
      </c>
      <c r="G610" s="1"/>
      <c r="H610" s="58"/>
      <c r="I610" s="1" t="s">
        <v>589</v>
      </c>
      <c r="J610" s="15">
        <v>25281</v>
      </c>
      <c r="K610" s="23">
        <v>2009</v>
      </c>
      <c r="L610" s="1" t="s">
        <v>44</v>
      </c>
      <c r="M610" s="1"/>
      <c r="N610" s="107"/>
    </row>
    <row r="611" spans="1:14" ht="18" hidden="1" customHeight="1" x14ac:dyDescent="0.2">
      <c r="A611" s="9" t="s">
        <v>1202</v>
      </c>
      <c r="B611" s="9" t="s">
        <v>199</v>
      </c>
      <c r="C611" s="23" t="s">
        <v>1258</v>
      </c>
      <c r="D611" s="9"/>
      <c r="E611" s="11" t="s">
        <v>1186</v>
      </c>
      <c r="F611" s="57" t="s">
        <v>987</v>
      </c>
      <c r="G611" s="1"/>
      <c r="H611" s="58"/>
      <c r="I611" s="1" t="s">
        <v>988</v>
      </c>
      <c r="J611" s="15">
        <v>27948</v>
      </c>
      <c r="K611" s="15">
        <v>45173</v>
      </c>
      <c r="L611" s="1" t="s">
        <v>989</v>
      </c>
      <c r="M611" s="1" t="s">
        <v>795</v>
      </c>
      <c r="N611" s="107" t="str">
        <f>IF(_xlfn.NUMBERVALUE(DATEDIF(J611,K611,"Y"))-Table1[[#This Row],[Κατηγορία]]&lt;0,"* Check Age *","")</f>
        <v/>
      </c>
    </row>
    <row r="612" spans="1:14" ht="18" hidden="1" customHeight="1" x14ac:dyDescent="0.2">
      <c r="A612" s="9" t="s">
        <v>1202</v>
      </c>
      <c r="B612" s="9" t="s">
        <v>199</v>
      </c>
      <c r="C612" s="23" t="s">
        <v>1259</v>
      </c>
      <c r="D612" s="9"/>
      <c r="E612" s="11" t="s">
        <v>1186</v>
      </c>
      <c r="F612" s="57" t="s">
        <v>1029</v>
      </c>
      <c r="G612" s="1"/>
      <c r="H612" s="58"/>
      <c r="I612" s="1" t="s">
        <v>1030</v>
      </c>
      <c r="J612" s="15">
        <v>27132</v>
      </c>
      <c r="K612" s="15">
        <v>45396</v>
      </c>
      <c r="L612" s="1" t="s">
        <v>1031</v>
      </c>
      <c r="M612" s="1" t="s">
        <v>795</v>
      </c>
      <c r="N612" s="107" t="str">
        <f>IF(_xlfn.NUMBERVALUE(DATEDIF(J612,K612,"Y"))-Table1[[#This Row],[Κατηγορία]]&lt;0,"* Check Age *","")</f>
        <v/>
      </c>
    </row>
    <row r="613" spans="1:14" ht="18" hidden="1" customHeight="1" x14ac:dyDescent="0.2">
      <c r="A613" s="9" t="s">
        <v>1202</v>
      </c>
      <c r="B613" s="9" t="s">
        <v>199</v>
      </c>
      <c r="C613" s="23" t="s">
        <v>1260</v>
      </c>
      <c r="D613" s="9"/>
      <c r="E613" s="11" t="s">
        <v>1186</v>
      </c>
      <c r="F613" s="57" t="s">
        <v>1214</v>
      </c>
      <c r="G613" s="1"/>
      <c r="H613" s="58"/>
      <c r="I613" s="1" t="s">
        <v>1036</v>
      </c>
      <c r="J613" s="15">
        <v>25332</v>
      </c>
      <c r="K613" s="13">
        <v>45753</v>
      </c>
      <c r="L613" s="1" t="s">
        <v>95</v>
      </c>
      <c r="M613" s="1" t="s">
        <v>795</v>
      </c>
      <c r="N613" s="107" t="str">
        <f>IF(_xlfn.NUMBERVALUE(DATEDIF(J613,K613,"Y"))-Table1[[#This Row],[Κατηγορία]]&lt;0,"* Check Age *","")</f>
        <v/>
      </c>
    </row>
    <row r="614" spans="1:14" ht="18" hidden="1" customHeight="1" x14ac:dyDescent="0.2">
      <c r="A614" s="9" t="s">
        <v>1202</v>
      </c>
      <c r="B614" s="9" t="s">
        <v>199</v>
      </c>
      <c r="C614" s="23" t="s">
        <v>1261</v>
      </c>
      <c r="D614" s="9"/>
      <c r="E614" s="11" t="s">
        <v>1186</v>
      </c>
      <c r="F614" s="57" t="s">
        <v>1445</v>
      </c>
      <c r="G614" s="1"/>
      <c r="H614" s="58"/>
      <c r="I614" s="1" t="s">
        <v>796</v>
      </c>
      <c r="J614" s="15">
        <v>23773</v>
      </c>
      <c r="K614" s="15">
        <v>46005</v>
      </c>
      <c r="L614" s="1" t="s">
        <v>1446</v>
      </c>
      <c r="M614" s="1" t="s">
        <v>795</v>
      </c>
      <c r="N614" s="107" t="str">
        <f>IF(_xlfn.NUMBERVALUE(DATEDIF(J614,K614,"Y"))-Table1[[#This Row],[Κατηγορία]]&lt;0,"* Check Age *","")</f>
        <v/>
      </c>
    </row>
    <row r="615" spans="1:14" ht="18" hidden="1" customHeight="1" x14ac:dyDescent="0.2">
      <c r="A615" s="9" t="s">
        <v>1202</v>
      </c>
      <c r="B615" s="9" t="s">
        <v>199</v>
      </c>
      <c r="C615" s="23" t="s">
        <v>1262</v>
      </c>
      <c r="D615" s="9"/>
      <c r="E615" s="11" t="s">
        <v>1186</v>
      </c>
      <c r="F615" s="57" t="s">
        <v>1125</v>
      </c>
      <c r="G615" s="1"/>
      <c r="H615" s="58"/>
      <c r="I615" s="1" t="s">
        <v>601</v>
      </c>
      <c r="J615" s="15">
        <v>21802</v>
      </c>
      <c r="K615" s="15">
        <v>45627</v>
      </c>
      <c r="L615" s="1" t="s">
        <v>1126</v>
      </c>
      <c r="M615" s="1" t="s">
        <v>795</v>
      </c>
      <c r="N615" s="107" t="str">
        <f>IF(_xlfn.NUMBERVALUE(DATEDIF(J615,K615,"Y"))-Table1[[#This Row],[Κατηγορία]]&lt;0,"* Check Age *","")</f>
        <v/>
      </c>
    </row>
    <row r="616" spans="1:14" ht="18" hidden="1" customHeight="1" x14ac:dyDescent="0.2">
      <c r="A616" s="9" t="s">
        <v>1202</v>
      </c>
      <c r="B616" s="9" t="s">
        <v>199</v>
      </c>
      <c r="C616" s="23" t="s">
        <v>1263</v>
      </c>
      <c r="D616" s="9"/>
      <c r="E616" s="11" t="s">
        <v>1186</v>
      </c>
      <c r="F616" s="57" t="s">
        <v>1218</v>
      </c>
      <c r="G616" s="1"/>
      <c r="H616" s="58"/>
      <c r="I616" s="1" t="s">
        <v>763</v>
      </c>
      <c r="J616" s="15">
        <v>19869</v>
      </c>
      <c r="K616" s="13">
        <v>45753</v>
      </c>
      <c r="L616" s="1" t="s">
        <v>95</v>
      </c>
      <c r="M616" s="1" t="s">
        <v>795</v>
      </c>
      <c r="N616" s="107" t="str">
        <f>IF(_xlfn.NUMBERVALUE(DATEDIF(J616,K616,"Y"))-Table1[[#This Row],[Κατηγορία]]&lt;0,"* Check Age *","")</f>
        <v/>
      </c>
    </row>
    <row r="617" spans="1:14" ht="18" hidden="1" customHeight="1" x14ac:dyDescent="0.2">
      <c r="A617" s="9" t="s">
        <v>1202</v>
      </c>
      <c r="B617" s="9" t="s">
        <v>199</v>
      </c>
      <c r="C617" s="23" t="s">
        <v>1264</v>
      </c>
      <c r="D617" s="9"/>
      <c r="E617" s="11" t="s">
        <v>1186</v>
      </c>
      <c r="F617" s="57" t="s">
        <v>929</v>
      </c>
      <c r="G617" s="1"/>
      <c r="H617" s="58"/>
      <c r="I617" s="1" t="s">
        <v>602</v>
      </c>
      <c r="J617" s="15">
        <v>16952</v>
      </c>
      <c r="K617" s="15">
        <v>44878</v>
      </c>
      <c r="L617" s="1" t="s">
        <v>44</v>
      </c>
      <c r="M617" s="1" t="s">
        <v>876</v>
      </c>
      <c r="N617" s="107" t="str">
        <f>IF(_xlfn.NUMBERVALUE(DATEDIF(J617,K617,"Y"))-Table1[[#This Row],[Κατηγορία]]&lt;0,"* Check Age *","")</f>
        <v/>
      </c>
    </row>
    <row r="618" spans="1:14" ht="18" hidden="1" customHeight="1" x14ac:dyDescent="0.2">
      <c r="A618" s="9" t="s">
        <v>1155</v>
      </c>
      <c r="B618" s="9" t="s">
        <v>388</v>
      </c>
      <c r="C618" s="12" t="s">
        <v>1256</v>
      </c>
      <c r="D618" s="9"/>
      <c r="E618" s="11" t="s">
        <v>1186</v>
      </c>
      <c r="F618" s="52" t="s">
        <v>389</v>
      </c>
      <c r="H618" s="11" t="s">
        <v>390</v>
      </c>
      <c r="I618" t="s">
        <v>310</v>
      </c>
      <c r="J618" s="10">
        <v>29963</v>
      </c>
      <c r="K618" s="10">
        <v>43596</v>
      </c>
      <c r="L618" s="61" t="s">
        <v>391</v>
      </c>
      <c r="M618" s="61" t="s">
        <v>392</v>
      </c>
      <c r="N618" s="107" t="str">
        <f>IF(_xlfn.NUMBERVALUE(DATEDIF(J618,K618,"Y"))-Table1[[#This Row],[Κατηγορία]]&lt;0,"* Check Age *","")</f>
        <v/>
      </c>
    </row>
    <row r="619" spans="1:14" ht="18" hidden="1" customHeight="1" x14ac:dyDescent="0.2">
      <c r="A619" s="9" t="s">
        <v>1155</v>
      </c>
      <c r="B619" s="9" t="s">
        <v>388</v>
      </c>
      <c r="C619" s="12" t="s">
        <v>1257</v>
      </c>
      <c r="D619" s="9"/>
      <c r="E619" s="11" t="s">
        <v>1186</v>
      </c>
      <c r="F619" s="52" t="s">
        <v>1039</v>
      </c>
      <c r="H619" s="11" t="s">
        <v>1038</v>
      </c>
      <c r="I619" t="s">
        <v>310</v>
      </c>
      <c r="J619" s="10">
        <v>29963</v>
      </c>
      <c r="K619" s="10">
        <v>45409</v>
      </c>
      <c r="L619" s="61" t="s">
        <v>86</v>
      </c>
      <c r="M619" s="61" t="s">
        <v>308</v>
      </c>
      <c r="N619" s="107" t="str">
        <f>IF(_xlfn.NUMBERVALUE(DATEDIF(J619,K619,"Y"))-Table1[[#This Row],[Κατηγορία]]&lt;0,"* Check Age *","")</f>
        <v/>
      </c>
    </row>
    <row r="620" spans="1:14" ht="18" hidden="1" customHeight="1" x14ac:dyDescent="0.2">
      <c r="A620" s="9" t="s">
        <v>1155</v>
      </c>
      <c r="B620" s="9" t="s">
        <v>388</v>
      </c>
      <c r="C620" s="12" t="s">
        <v>1258</v>
      </c>
      <c r="D620" s="9"/>
      <c r="E620" s="11" t="s">
        <v>1186</v>
      </c>
      <c r="F620" s="52" t="s">
        <v>393</v>
      </c>
      <c r="H620" s="64"/>
      <c r="I620" s="61" t="s">
        <v>318</v>
      </c>
      <c r="J620" s="10">
        <v>25792</v>
      </c>
      <c r="K620" s="11">
        <v>2018</v>
      </c>
      <c r="L620" t="s">
        <v>23</v>
      </c>
      <c r="N620" s="107"/>
    </row>
    <row r="621" spans="1:14" ht="18" hidden="1" customHeight="1" x14ac:dyDescent="0.2">
      <c r="A621" s="9" t="s">
        <v>1155</v>
      </c>
      <c r="B621" s="9" t="s">
        <v>388</v>
      </c>
      <c r="C621" s="12" t="s">
        <v>1259</v>
      </c>
      <c r="D621" s="9"/>
      <c r="E621" s="11" t="s">
        <v>1186</v>
      </c>
      <c r="F621" s="52" t="s">
        <v>394</v>
      </c>
      <c r="H621" s="64"/>
      <c r="I621" t="s">
        <v>228</v>
      </c>
      <c r="J621" s="10">
        <v>16083</v>
      </c>
      <c r="K621" s="11">
        <v>1995</v>
      </c>
      <c r="L621" t="s">
        <v>44</v>
      </c>
      <c r="N621" s="107"/>
    </row>
    <row r="622" spans="1:14" ht="18" hidden="1" customHeight="1" x14ac:dyDescent="0.2">
      <c r="A622" s="9" t="s">
        <v>1155</v>
      </c>
      <c r="B622" s="9" t="s">
        <v>388</v>
      </c>
      <c r="C622" s="12" t="s">
        <v>1259</v>
      </c>
      <c r="D622" s="9"/>
      <c r="E622" s="11" t="s">
        <v>1187</v>
      </c>
      <c r="F622" s="52" t="s">
        <v>394</v>
      </c>
      <c r="H622" s="11" t="s">
        <v>36</v>
      </c>
      <c r="I622" t="s">
        <v>905</v>
      </c>
      <c r="J622" s="10">
        <v>26019</v>
      </c>
      <c r="K622" s="10">
        <v>44828</v>
      </c>
      <c r="L622" t="s">
        <v>95</v>
      </c>
      <c r="M622" t="s">
        <v>15</v>
      </c>
      <c r="N622" s="107" t="str">
        <f>IF(_xlfn.NUMBERVALUE(DATEDIF(J622,K622,"Y"))-Table1[[#This Row],[Κατηγορία]]&lt;0,"* Check Age *","")</f>
        <v/>
      </c>
    </row>
    <row r="623" spans="1:14" ht="18" hidden="1" customHeight="1" x14ac:dyDescent="0.2">
      <c r="A623" s="9" t="s">
        <v>1155</v>
      </c>
      <c r="B623" s="9" t="s">
        <v>388</v>
      </c>
      <c r="C623" s="12" t="s">
        <v>1260</v>
      </c>
      <c r="D623" s="9"/>
      <c r="E623" s="11" t="s">
        <v>1186</v>
      </c>
      <c r="F623" s="52" t="s">
        <v>1061</v>
      </c>
      <c r="H623" s="11" t="s">
        <v>1062</v>
      </c>
      <c r="I623" t="s">
        <v>1063</v>
      </c>
      <c r="J623" s="10">
        <v>25118</v>
      </c>
      <c r="K623" s="10">
        <v>45465</v>
      </c>
      <c r="L623" t="s">
        <v>242</v>
      </c>
      <c r="M623" t="s">
        <v>1064</v>
      </c>
      <c r="N623" s="107" t="str">
        <f>IF(_xlfn.NUMBERVALUE(DATEDIF(J623,K623,"Y"))-Table1[[#This Row],[Κατηγορία]]&lt;0,"* Check Age *","")</f>
        <v/>
      </c>
    </row>
    <row r="624" spans="1:14" ht="18" hidden="1" customHeight="1" x14ac:dyDescent="0.2">
      <c r="A624" s="9" t="s">
        <v>1155</v>
      </c>
      <c r="B624" s="9" t="s">
        <v>388</v>
      </c>
      <c r="C624" s="12" t="s">
        <v>1261</v>
      </c>
      <c r="D624" s="9"/>
      <c r="E624" s="11" t="s">
        <v>1186</v>
      </c>
      <c r="F624" s="52" t="s">
        <v>395</v>
      </c>
      <c r="H624" s="64"/>
      <c r="I624" t="s">
        <v>212</v>
      </c>
      <c r="J624" s="10">
        <v>13492</v>
      </c>
      <c r="K624" s="11">
        <v>1997</v>
      </c>
      <c r="L624" t="s">
        <v>122</v>
      </c>
      <c r="N624" s="107"/>
    </row>
    <row r="625" spans="1:15" ht="18" hidden="1" customHeight="1" x14ac:dyDescent="0.2">
      <c r="A625" s="9" t="s">
        <v>1155</v>
      </c>
      <c r="B625" s="9" t="s">
        <v>388</v>
      </c>
      <c r="C625" s="12" t="s">
        <v>1262</v>
      </c>
      <c r="D625" s="9"/>
      <c r="E625" s="11" t="s">
        <v>1186</v>
      </c>
      <c r="F625" s="52" t="s">
        <v>396</v>
      </c>
      <c r="H625" s="64"/>
      <c r="I625" t="s">
        <v>212</v>
      </c>
      <c r="J625" s="10">
        <v>13492</v>
      </c>
      <c r="K625" s="11">
        <v>2002</v>
      </c>
      <c r="L625" t="s">
        <v>44</v>
      </c>
      <c r="N625" s="107"/>
    </row>
    <row r="626" spans="1:15" ht="18" hidden="1" customHeight="1" x14ac:dyDescent="0.2">
      <c r="A626" s="9" t="s">
        <v>1155</v>
      </c>
      <c r="B626" s="9" t="s">
        <v>388</v>
      </c>
      <c r="C626" s="12" t="s">
        <v>1263</v>
      </c>
      <c r="D626" s="9"/>
      <c r="E626" s="11" t="s">
        <v>1186</v>
      </c>
      <c r="F626" s="52" t="s">
        <v>1040</v>
      </c>
      <c r="H626" s="11" t="s">
        <v>1041</v>
      </c>
      <c r="I626" t="s">
        <v>797</v>
      </c>
      <c r="J626" s="10">
        <v>18916</v>
      </c>
      <c r="K626" s="10">
        <v>45409</v>
      </c>
      <c r="L626" s="61" t="s">
        <v>952</v>
      </c>
      <c r="M626" s="1" t="s">
        <v>308</v>
      </c>
      <c r="N626" s="107" t="str">
        <f>IF(_xlfn.NUMBERVALUE(DATEDIF(J626,K626,"Y"))-Table1[[#This Row],[Κατηγορία]]&lt;0,"* Check Age *","")</f>
        <v/>
      </c>
    </row>
    <row r="627" spans="1:15" ht="18" hidden="1" customHeight="1" x14ac:dyDescent="0.2">
      <c r="A627" s="9" t="s">
        <v>1155</v>
      </c>
      <c r="B627" s="9" t="s">
        <v>388</v>
      </c>
      <c r="C627" s="12" t="s">
        <v>1264</v>
      </c>
      <c r="D627" s="9"/>
      <c r="E627" s="11" t="s">
        <v>1186</v>
      </c>
      <c r="F627" s="52" t="s">
        <v>397</v>
      </c>
      <c r="H627" s="64"/>
      <c r="I627" t="s">
        <v>212</v>
      </c>
      <c r="J627" s="10">
        <v>13492</v>
      </c>
      <c r="K627" s="10">
        <v>41175</v>
      </c>
      <c r="L627" t="s">
        <v>57</v>
      </c>
      <c r="M627" t="s">
        <v>15</v>
      </c>
      <c r="N627" s="107" t="str">
        <f>IF(_xlfn.NUMBERVALUE(DATEDIF(J627,K627,"Y"))-Table1[[#This Row],[Κατηγορία]]&lt;0,"* Check Age *","")</f>
        <v/>
      </c>
    </row>
    <row r="628" spans="1:15" ht="18" hidden="1" customHeight="1" x14ac:dyDescent="0.2">
      <c r="A628" s="9" t="s">
        <v>1155</v>
      </c>
      <c r="B628" s="9" t="s">
        <v>388</v>
      </c>
      <c r="C628" s="12" t="s">
        <v>1264</v>
      </c>
      <c r="D628" s="9"/>
      <c r="E628" s="11" t="s">
        <v>1187</v>
      </c>
      <c r="F628" s="52" t="s">
        <v>881</v>
      </c>
      <c r="H628" s="11" t="s">
        <v>868</v>
      </c>
      <c r="I628" t="s">
        <v>744</v>
      </c>
      <c r="J628" s="10">
        <v>16447</v>
      </c>
      <c r="K628" s="10">
        <v>44366</v>
      </c>
      <c r="L628" s="61" t="s">
        <v>46</v>
      </c>
      <c r="M628" t="s">
        <v>40</v>
      </c>
      <c r="N628" s="107" t="str">
        <f>IF(_xlfn.NUMBERVALUE(DATEDIF(J628,K628,"Y"))-Table1[[#This Row],[Κατηγορία]]&lt;0,"* Check Age *","")</f>
        <v/>
      </c>
    </row>
    <row r="629" spans="1:15" ht="18" hidden="1" customHeight="1" x14ac:dyDescent="0.2">
      <c r="A629" s="9" t="s">
        <v>1155</v>
      </c>
      <c r="B629" s="9" t="s">
        <v>388</v>
      </c>
      <c r="C629" s="12" t="s">
        <v>1265</v>
      </c>
      <c r="D629" s="9"/>
      <c r="E629" s="11" t="s">
        <v>1186</v>
      </c>
      <c r="F629" s="52" t="s">
        <v>1276</v>
      </c>
      <c r="H629" s="64"/>
      <c r="I629" t="s">
        <v>744</v>
      </c>
      <c r="J629" s="10">
        <v>16447</v>
      </c>
      <c r="K629" s="54">
        <v>45808</v>
      </c>
      <c r="L629" s="1" t="s">
        <v>106</v>
      </c>
      <c r="M629" t="s">
        <v>1271</v>
      </c>
      <c r="N629" s="107" t="str">
        <f>IF(_xlfn.NUMBERVALUE(DATEDIF(J629,K629,"Y"))-Table1[[#This Row],[Κατηγορία]]&lt;0,"* Check Age *","")</f>
        <v/>
      </c>
    </row>
    <row r="630" spans="1:15" ht="18" hidden="1" customHeight="1" x14ac:dyDescent="0.2">
      <c r="A630" s="9" t="s">
        <v>1155</v>
      </c>
      <c r="B630" s="9" t="s">
        <v>388</v>
      </c>
      <c r="C630" s="12" t="s">
        <v>1266</v>
      </c>
      <c r="D630" s="9"/>
      <c r="E630" s="11" t="s">
        <v>1186</v>
      </c>
      <c r="F630" s="52" t="s">
        <v>822</v>
      </c>
      <c r="H630" s="64"/>
      <c r="I630" t="s">
        <v>212</v>
      </c>
      <c r="J630" s="10">
        <v>13492</v>
      </c>
      <c r="K630" s="54">
        <v>44709</v>
      </c>
      <c r="L630" s="1" t="s">
        <v>44</v>
      </c>
      <c r="M630" s="1" t="s">
        <v>726</v>
      </c>
      <c r="N630" s="107" t="str">
        <f>IF(_xlfn.NUMBERVALUE(DATEDIF(J630,K630,"Y"))-Table1[[#This Row],[Κατηγορία]]&lt;0,"* Check Age *","")</f>
        <v/>
      </c>
    </row>
    <row r="631" spans="1:15" ht="18" hidden="1" customHeight="1" x14ac:dyDescent="0.2">
      <c r="A631" s="9" t="s">
        <v>1155</v>
      </c>
      <c r="B631" s="9" t="s">
        <v>388</v>
      </c>
      <c r="C631" s="12" t="s">
        <v>1267</v>
      </c>
      <c r="D631" s="9"/>
      <c r="E631" s="11" t="s">
        <v>1186</v>
      </c>
      <c r="F631" s="52" t="s">
        <v>760</v>
      </c>
      <c r="H631" s="64"/>
      <c r="I631" t="s">
        <v>59</v>
      </c>
      <c r="J631" s="10">
        <v>10618</v>
      </c>
      <c r="K631" s="10">
        <v>44094</v>
      </c>
      <c r="L631" t="s">
        <v>44</v>
      </c>
      <c r="M631" t="s">
        <v>726</v>
      </c>
      <c r="N631" s="107" t="str">
        <f>IF(_xlfn.NUMBERVALUE(DATEDIF(J631,K631,"Y"))-Table1[[#This Row],[Κατηγορία]]&lt;0,"* Check Age *","")</f>
        <v/>
      </c>
    </row>
    <row r="632" spans="1:15" ht="18" hidden="1" customHeight="1" x14ac:dyDescent="0.2">
      <c r="A632" s="9" t="s">
        <v>1155</v>
      </c>
      <c r="B632" s="9" t="s">
        <v>388</v>
      </c>
      <c r="C632" s="12" t="s">
        <v>1268</v>
      </c>
      <c r="D632" s="9"/>
      <c r="E632" s="11" t="s">
        <v>1186</v>
      </c>
      <c r="F632" s="52" t="s">
        <v>1116</v>
      </c>
      <c r="I632" t="s">
        <v>62</v>
      </c>
      <c r="J632" s="10">
        <v>8298</v>
      </c>
      <c r="K632" s="10">
        <v>43043</v>
      </c>
      <c r="L632" s="1" t="s">
        <v>27</v>
      </c>
      <c r="M632" s="1" t="s">
        <v>753</v>
      </c>
      <c r="N632" s="107" t="str">
        <f>IF(_xlfn.NUMBERVALUE(DATEDIF(J632,K632,"Y"))-Table1[[#This Row],[Κατηγορία]]&lt;0,"* Check Age *","")</f>
        <v/>
      </c>
    </row>
    <row r="633" spans="1:15" ht="18" hidden="1" customHeight="1" x14ac:dyDescent="0.2">
      <c r="A633" s="9" t="s">
        <v>1202</v>
      </c>
      <c r="B633" t="s">
        <v>388</v>
      </c>
      <c r="C633" s="23" t="s">
        <v>1256</v>
      </c>
      <c r="E633" s="11" t="s">
        <v>1186</v>
      </c>
      <c r="F633" s="57" t="s">
        <v>663</v>
      </c>
      <c r="G633" s="1"/>
      <c r="H633" s="58"/>
      <c r="I633" s="1" t="s">
        <v>606</v>
      </c>
      <c r="J633" s="15">
        <v>27609</v>
      </c>
      <c r="K633" s="15">
        <v>40328</v>
      </c>
      <c r="L633" s="1" t="s">
        <v>607</v>
      </c>
      <c r="M633" s="4" t="s">
        <v>155</v>
      </c>
      <c r="N633" s="107" t="str">
        <f>IF(_xlfn.NUMBERVALUE(DATEDIF(J633,K633,"Y"))-Table1[[#This Row],[Κατηγορία]]&lt;0,CONCATENATE("* Check Age = ",TEXT(DATEDIF(J633,K633,"Y"),"00"),"*"),"")</f>
        <v>* Check Age = 34*</v>
      </c>
      <c r="O633" t="s">
        <v>1427</v>
      </c>
    </row>
    <row r="634" spans="1:15" ht="18" hidden="1" customHeight="1" x14ac:dyDescent="0.2">
      <c r="A634" s="9" t="s">
        <v>1202</v>
      </c>
      <c r="B634" t="s">
        <v>388</v>
      </c>
      <c r="C634" s="23" t="s">
        <v>1257</v>
      </c>
      <c r="E634" s="11" t="s">
        <v>1186</v>
      </c>
      <c r="F634" s="57" t="s">
        <v>664</v>
      </c>
      <c r="G634" s="1"/>
      <c r="H634" s="58"/>
      <c r="I634" s="1" t="s">
        <v>609</v>
      </c>
      <c r="J634" s="15">
        <v>27803</v>
      </c>
      <c r="K634" s="23">
        <v>2018</v>
      </c>
      <c r="L634" s="1" t="s">
        <v>44</v>
      </c>
      <c r="M634" s="1"/>
      <c r="N634" s="107"/>
    </row>
    <row r="635" spans="1:15" ht="18" hidden="1" customHeight="1" x14ac:dyDescent="0.2">
      <c r="A635" s="9" t="s">
        <v>1202</v>
      </c>
      <c r="B635" t="s">
        <v>388</v>
      </c>
      <c r="C635" s="23" t="s">
        <v>1258</v>
      </c>
      <c r="E635" s="11" t="s">
        <v>1186</v>
      </c>
      <c r="F635" s="57" t="s">
        <v>395</v>
      </c>
      <c r="G635" s="1"/>
      <c r="H635" s="58"/>
      <c r="I635" s="1" t="s">
        <v>609</v>
      </c>
      <c r="J635" s="15">
        <v>27803</v>
      </c>
      <c r="K635" s="15">
        <v>45074</v>
      </c>
      <c r="L635" s="1" t="s">
        <v>955</v>
      </c>
      <c r="M635" s="1" t="s">
        <v>956</v>
      </c>
      <c r="N635" s="107" t="str">
        <f>IF(_xlfn.NUMBERVALUE(DATEDIF(J635,K635,"Y"))-Table1[[#This Row],[Κατηγορία]]&lt;0,"* Check Age *","")</f>
        <v/>
      </c>
    </row>
    <row r="636" spans="1:15" ht="18" hidden="1" customHeight="1" x14ac:dyDescent="0.2">
      <c r="A636" s="9" t="s">
        <v>1202</v>
      </c>
      <c r="B636" t="s">
        <v>388</v>
      </c>
      <c r="C636" s="23" t="s">
        <v>1259</v>
      </c>
      <c r="E636" s="11" t="s">
        <v>1186</v>
      </c>
      <c r="F636" s="57" t="s">
        <v>776</v>
      </c>
      <c r="G636" s="1"/>
      <c r="H636" s="58"/>
      <c r="I636" s="1" t="s">
        <v>534</v>
      </c>
      <c r="J636" s="15">
        <v>25836</v>
      </c>
      <c r="K636" s="15">
        <v>44352</v>
      </c>
      <c r="L636" s="1" t="s">
        <v>23</v>
      </c>
      <c r="M636" s="1" t="s">
        <v>753</v>
      </c>
      <c r="N636" s="107" t="str">
        <f>IF(_xlfn.NUMBERVALUE(DATEDIF(J636,K636,"Y"))-Table1[[#This Row],[Κατηγορία]]&lt;0,"* Check Age *","")</f>
        <v/>
      </c>
    </row>
    <row r="637" spans="1:15" ht="18" hidden="1" customHeight="1" x14ac:dyDescent="0.2">
      <c r="A637" s="9" t="s">
        <v>1202</v>
      </c>
      <c r="B637" t="s">
        <v>388</v>
      </c>
      <c r="C637" s="23" t="s">
        <v>1260</v>
      </c>
      <c r="E637" s="11" t="s">
        <v>1186</v>
      </c>
      <c r="F637" s="57" t="s">
        <v>1053</v>
      </c>
      <c r="G637" s="1"/>
      <c r="H637" s="58"/>
      <c r="I637" s="1" t="s">
        <v>538</v>
      </c>
      <c r="J637" s="15">
        <v>24543</v>
      </c>
      <c r="K637" s="15">
        <v>45445</v>
      </c>
      <c r="L637" s="1" t="s">
        <v>23</v>
      </c>
      <c r="M637" s="1" t="s">
        <v>753</v>
      </c>
      <c r="N637" s="107" t="str">
        <f>IF(_xlfn.NUMBERVALUE(DATEDIF(J637,K637,"Y"))-Table1[[#This Row],[Κατηγορία]]&lt;0,"* Check Age *","")</f>
        <v/>
      </c>
    </row>
    <row r="638" spans="1:15" ht="18" hidden="1" customHeight="1" x14ac:dyDescent="0.2">
      <c r="A638" s="9" t="s">
        <v>1202</v>
      </c>
      <c r="B638" t="s">
        <v>388</v>
      </c>
      <c r="C638" s="23" t="s">
        <v>1261</v>
      </c>
      <c r="E638" s="11" t="s">
        <v>1186</v>
      </c>
      <c r="F638" s="57" t="s">
        <v>926</v>
      </c>
      <c r="G638" s="1"/>
      <c r="H638" s="58"/>
      <c r="I638" s="1" t="s">
        <v>661</v>
      </c>
      <c r="J638" s="15">
        <v>22268</v>
      </c>
      <c r="K638" s="15">
        <v>44870</v>
      </c>
      <c r="L638" s="1" t="s">
        <v>27</v>
      </c>
      <c r="M638" s="1" t="s">
        <v>177</v>
      </c>
      <c r="N638" s="107" t="str">
        <f>IF(_xlfn.NUMBERVALUE(DATEDIF(J638,K638,"Y"))-Table1[[#This Row],[Κατηγορία]]&lt;0,"* Check Age *","")</f>
        <v/>
      </c>
    </row>
    <row r="639" spans="1:15" ht="18" hidden="1" customHeight="1" x14ac:dyDescent="0.2">
      <c r="A639" s="9" t="s">
        <v>1202</v>
      </c>
      <c r="B639" t="s">
        <v>388</v>
      </c>
      <c r="C639" s="23" t="s">
        <v>1262</v>
      </c>
      <c r="E639" s="11" t="s">
        <v>1186</v>
      </c>
      <c r="F639" s="57" t="s">
        <v>666</v>
      </c>
      <c r="G639" s="1"/>
      <c r="H639" s="58"/>
      <c r="I639" s="1" t="s">
        <v>543</v>
      </c>
      <c r="J639" s="15">
        <v>16444</v>
      </c>
      <c r="K639" s="15">
        <v>40379</v>
      </c>
      <c r="L639" s="1" t="s">
        <v>89</v>
      </c>
      <c r="M639" s="1" t="s">
        <v>79</v>
      </c>
      <c r="N639" s="107" t="str">
        <f>IF(_xlfn.NUMBERVALUE(DATEDIF(J639,K639,"Y"))-Table1[[#This Row],[Κατηγορία]]&lt;0,"* Check Age *","")</f>
        <v/>
      </c>
    </row>
    <row r="640" spans="1:15" ht="18" hidden="1" customHeight="1" x14ac:dyDescent="0.2">
      <c r="A640" s="9" t="s">
        <v>1202</v>
      </c>
      <c r="B640" t="s">
        <v>388</v>
      </c>
      <c r="C640" s="23" t="s">
        <v>1263</v>
      </c>
      <c r="E640" s="11" t="s">
        <v>1186</v>
      </c>
      <c r="F640" s="57" t="s">
        <v>665</v>
      </c>
      <c r="G640" s="1"/>
      <c r="H640" s="58"/>
      <c r="I640" s="1" t="s">
        <v>543</v>
      </c>
      <c r="J640" s="15">
        <v>16444</v>
      </c>
      <c r="K640" s="23">
        <v>2015</v>
      </c>
      <c r="L640" s="1" t="s">
        <v>95</v>
      </c>
      <c r="M640" s="1" t="s">
        <v>15</v>
      </c>
      <c r="N640" s="107"/>
    </row>
    <row r="641" spans="1:14" ht="18" hidden="1" customHeight="1" x14ac:dyDescent="0.2">
      <c r="A641" s="9" t="s">
        <v>1155</v>
      </c>
      <c r="B641" s="9" t="s">
        <v>1180</v>
      </c>
      <c r="C641" s="12" t="s">
        <v>1256</v>
      </c>
      <c r="D641" s="9"/>
      <c r="E641" s="11" t="s">
        <v>1186</v>
      </c>
      <c r="F641" s="55">
        <v>2085</v>
      </c>
      <c r="G641" s="65" t="s">
        <v>480</v>
      </c>
      <c r="I641" t="s">
        <v>479</v>
      </c>
      <c r="J641" s="10">
        <v>28532</v>
      </c>
      <c r="K641" s="11">
        <v>2017</v>
      </c>
      <c r="L641" t="s">
        <v>23</v>
      </c>
      <c r="N641" s="107"/>
    </row>
    <row r="642" spans="1:14" ht="18" hidden="1" customHeight="1" x14ac:dyDescent="0.2">
      <c r="A642" s="9" t="s">
        <v>1155</v>
      </c>
      <c r="B642" s="9" t="s">
        <v>1180</v>
      </c>
      <c r="C642" s="12" t="s">
        <v>1257</v>
      </c>
      <c r="D642" s="9"/>
      <c r="E642" s="11" t="s">
        <v>1186</v>
      </c>
      <c r="F642" s="55">
        <v>3120</v>
      </c>
      <c r="G642" t="s">
        <v>482</v>
      </c>
      <c r="I642" t="s">
        <v>481</v>
      </c>
      <c r="J642" s="10">
        <v>24705</v>
      </c>
      <c r="K642" s="10">
        <v>39659</v>
      </c>
      <c r="L642" t="s">
        <v>205</v>
      </c>
      <c r="M642" t="s">
        <v>79</v>
      </c>
      <c r="N642" s="107" t="str">
        <f>IF(_xlfn.NUMBERVALUE(DATEDIF(J642,K642,"Y"))-Table1[[#This Row],[Κατηγορία]]&lt;0,"* Check Age *","")</f>
        <v/>
      </c>
    </row>
    <row r="643" spans="1:14" ht="18" hidden="1" customHeight="1" x14ac:dyDescent="0.2">
      <c r="A643" s="9" t="s">
        <v>1155</v>
      </c>
      <c r="B643" s="9" t="s">
        <v>1180</v>
      </c>
      <c r="C643" s="12" t="s">
        <v>1258</v>
      </c>
      <c r="D643" s="9"/>
      <c r="E643" s="11" t="s">
        <v>1186</v>
      </c>
      <c r="F643" s="55">
        <v>3529</v>
      </c>
      <c r="G643" t="s">
        <v>483</v>
      </c>
      <c r="I643" t="s">
        <v>318</v>
      </c>
      <c r="J643" s="10">
        <v>25792</v>
      </c>
      <c r="K643" s="10">
        <v>43611</v>
      </c>
      <c r="L643" t="s">
        <v>23</v>
      </c>
      <c r="M643" s="61"/>
      <c r="N643" s="107" t="str">
        <f>IF(_xlfn.NUMBERVALUE(DATEDIF(J643,K643,"Y"))-Table1[[#This Row],[Κατηγορία]]&lt;0,"* Check Age *","")</f>
        <v/>
      </c>
    </row>
    <row r="644" spans="1:14" ht="18" hidden="1" customHeight="1" x14ac:dyDescent="0.2">
      <c r="A644" s="9" t="s">
        <v>1155</v>
      </c>
      <c r="B644" s="9" t="s">
        <v>1180</v>
      </c>
      <c r="C644" s="12" t="s">
        <v>1259</v>
      </c>
      <c r="D644" s="9"/>
      <c r="E644" s="11" t="s">
        <v>1186</v>
      </c>
      <c r="F644" s="55">
        <v>3268</v>
      </c>
      <c r="G644" t="s">
        <v>1277</v>
      </c>
      <c r="I644" t="s">
        <v>318</v>
      </c>
      <c r="J644" s="10">
        <v>25792</v>
      </c>
      <c r="K644" s="10">
        <v>45808</v>
      </c>
      <c r="L644" t="s">
        <v>106</v>
      </c>
      <c r="M644" t="s">
        <v>1271</v>
      </c>
      <c r="N644" s="107" t="str">
        <f>IF(_xlfn.NUMBERVALUE(DATEDIF(J644,K644,"Y"))-Table1[[#This Row],[Κατηγορία]]&lt;0,"* Check Age *","")</f>
        <v/>
      </c>
    </row>
    <row r="645" spans="1:14" ht="18" hidden="1" customHeight="1" x14ac:dyDescent="0.2">
      <c r="A645" s="9" t="s">
        <v>1155</v>
      </c>
      <c r="B645" s="9" t="s">
        <v>1180</v>
      </c>
      <c r="C645" s="12" t="s">
        <v>1260</v>
      </c>
      <c r="D645" s="9"/>
      <c r="E645" s="11" t="s">
        <v>1186</v>
      </c>
      <c r="F645" s="55">
        <v>2911</v>
      </c>
      <c r="G645" t="s">
        <v>1278</v>
      </c>
      <c r="I645" t="s">
        <v>481</v>
      </c>
      <c r="J645" s="10">
        <v>24705</v>
      </c>
      <c r="K645" s="10">
        <v>45808</v>
      </c>
      <c r="L645" t="s">
        <v>106</v>
      </c>
      <c r="M645" t="s">
        <v>1271</v>
      </c>
      <c r="N645" s="107" t="str">
        <f>IF(_xlfn.NUMBERVALUE(DATEDIF(J645,K645,"Y"))-Table1[[#This Row],[Κατηγορία]]&lt;0,"* Check Age *","")</f>
        <v/>
      </c>
    </row>
    <row r="646" spans="1:14" ht="18" hidden="1" customHeight="1" x14ac:dyDescent="0.2">
      <c r="A646" s="9" t="s">
        <v>1155</v>
      </c>
      <c r="B646" s="9" t="s">
        <v>1180</v>
      </c>
      <c r="C646" s="12" t="s">
        <v>1261</v>
      </c>
      <c r="D646" s="9"/>
      <c r="E646" s="11" t="s">
        <v>1186</v>
      </c>
      <c r="F646" s="55">
        <v>2822</v>
      </c>
      <c r="G646" t="s">
        <v>485</v>
      </c>
      <c r="I646" t="s">
        <v>484</v>
      </c>
      <c r="J646" s="10">
        <v>21268</v>
      </c>
      <c r="K646" s="11">
        <v>2019</v>
      </c>
      <c r="L646" t="s">
        <v>23</v>
      </c>
      <c r="N646" s="107"/>
    </row>
    <row r="647" spans="1:14" ht="18" hidden="1" customHeight="1" x14ac:dyDescent="0.2">
      <c r="A647" s="9" t="s">
        <v>1155</v>
      </c>
      <c r="B647" s="9" t="s">
        <v>1180</v>
      </c>
      <c r="C647" s="12" t="s">
        <v>1262</v>
      </c>
      <c r="D647" s="9"/>
      <c r="E647" s="11" t="s">
        <v>1186</v>
      </c>
      <c r="F647" s="55">
        <v>2884</v>
      </c>
      <c r="G647" t="s">
        <v>1055</v>
      </c>
      <c r="I647" t="s">
        <v>375</v>
      </c>
      <c r="J647" s="10">
        <v>21398</v>
      </c>
      <c r="K647" s="10">
        <v>45444</v>
      </c>
      <c r="L647" t="s">
        <v>23</v>
      </c>
      <c r="M647" t="s">
        <v>753</v>
      </c>
      <c r="N647" s="107" t="str">
        <f>IF(_xlfn.NUMBERVALUE(DATEDIF(J647,K647,"Y"))-Table1[[#This Row],[Κατηγορία]]&lt;0,"* Check Age *","")</f>
        <v/>
      </c>
    </row>
    <row r="648" spans="1:14" ht="18" hidden="1" customHeight="1" x14ac:dyDescent="0.2">
      <c r="A648" s="9" t="s">
        <v>1155</v>
      </c>
      <c r="B648" s="9" t="s">
        <v>1180</v>
      </c>
      <c r="C648" s="12" t="s">
        <v>1263</v>
      </c>
      <c r="D648" s="9"/>
      <c r="E648" s="11" t="s">
        <v>1186</v>
      </c>
      <c r="F648" s="55">
        <v>2876</v>
      </c>
      <c r="G648" t="s">
        <v>848</v>
      </c>
      <c r="I648" t="s">
        <v>752</v>
      </c>
      <c r="J648" s="10">
        <v>18916</v>
      </c>
      <c r="K648" s="10">
        <v>44800</v>
      </c>
      <c r="L648" t="s">
        <v>23</v>
      </c>
      <c r="M648" t="s">
        <v>15</v>
      </c>
      <c r="N648" s="107" t="str">
        <f>IF(_xlfn.NUMBERVALUE(DATEDIF(J648,K648,"Y"))-Table1[[#This Row],[Κατηγορία]]&lt;0,"* Check Age *","")</f>
        <v/>
      </c>
    </row>
    <row r="649" spans="1:14" ht="18" hidden="1" customHeight="1" x14ac:dyDescent="0.2">
      <c r="A649" s="9" t="s">
        <v>1155</v>
      </c>
      <c r="B649" s="9" t="s">
        <v>1180</v>
      </c>
      <c r="C649" s="12" t="s">
        <v>1264</v>
      </c>
      <c r="D649" s="9"/>
      <c r="E649" s="11" t="s">
        <v>1186</v>
      </c>
      <c r="F649" s="55">
        <v>2042</v>
      </c>
      <c r="G649" s="65" t="s">
        <v>965</v>
      </c>
      <c r="I649" t="s">
        <v>744</v>
      </c>
      <c r="J649" s="10">
        <v>16447</v>
      </c>
      <c r="K649" s="10">
        <v>45116</v>
      </c>
      <c r="L649" t="s">
        <v>23</v>
      </c>
      <c r="M649" t="s">
        <v>40</v>
      </c>
      <c r="N649" s="107" t="str">
        <f>IF(_xlfn.NUMBERVALUE(DATEDIF(J649,K649,"Y"))-Table1[[#This Row],[Κατηγορία]]&lt;0,"* Check Age *","")</f>
        <v/>
      </c>
    </row>
    <row r="650" spans="1:14" ht="18" hidden="1" customHeight="1" x14ac:dyDescent="0.2">
      <c r="A650" s="9" t="s">
        <v>1155</v>
      </c>
      <c r="B650" s="9" t="s">
        <v>1180</v>
      </c>
      <c r="C650" s="23">
        <v>80</v>
      </c>
      <c r="D650" s="9"/>
      <c r="E650" s="11" t="s">
        <v>1186</v>
      </c>
      <c r="F650" s="67">
        <v>2137</v>
      </c>
      <c r="G650" s="75" t="s">
        <v>1279</v>
      </c>
      <c r="H650" s="58"/>
      <c r="I650" t="s">
        <v>744</v>
      </c>
      <c r="J650" s="10">
        <v>16447</v>
      </c>
      <c r="K650" s="15">
        <v>45808</v>
      </c>
      <c r="L650" s="1" t="s">
        <v>106</v>
      </c>
      <c r="M650" s="1" t="s">
        <v>1271</v>
      </c>
      <c r="N650" s="107" t="str">
        <f>IF(_xlfn.NUMBERVALUE(DATEDIF(J650,K650,"Y"))-Table1[[#This Row],[Κατηγορία]]&lt;0,"* Check Age *","")</f>
        <v/>
      </c>
    </row>
    <row r="651" spans="1:14" ht="18" hidden="1" customHeight="1" x14ac:dyDescent="0.2">
      <c r="A651" s="9" t="s">
        <v>1202</v>
      </c>
      <c r="B651" t="s">
        <v>1204</v>
      </c>
      <c r="C651" s="23" t="s">
        <v>1260</v>
      </c>
      <c r="E651" s="11" t="s">
        <v>1186</v>
      </c>
      <c r="F651" s="67">
        <v>1858</v>
      </c>
      <c r="G651" s="75"/>
      <c r="H651" s="58"/>
      <c r="I651" s="1" t="s">
        <v>543</v>
      </c>
      <c r="J651" s="15">
        <v>16444</v>
      </c>
      <c r="K651" s="23">
        <v>2002</v>
      </c>
      <c r="L651" s="1" t="s">
        <v>217</v>
      </c>
      <c r="M651" s="1" t="s">
        <v>79</v>
      </c>
      <c r="N651" s="107"/>
    </row>
    <row r="652" spans="1:14" ht="18" hidden="1" customHeight="1" x14ac:dyDescent="0.2">
      <c r="A652" s="9" t="s">
        <v>1202</v>
      </c>
      <c r="B652" t="s">
        <v>1204</v>
      </c>
      <c r="C652" s="23" t="s">
        <v>1260</v>
      </c>
      <c r="E652" s="11" t="s">
        <v>1186</v>
      </c>
      <c r="F652" s="67">
        <v>1858</v>
      </c>
      <c r="G652" s="67" t="s">
        <v>717</v>
      </c>
      <c r="H652" s="58"/>
      <c r="I652" s="1" t="s">
        <v>543</v>
      </c>
      <c r="J652" s="15">
        <v>16444</v>
      </c>
      <c r="K652" s="23">
        <v>2002</v>
      </c>
      <c r="L652" s="58" t="s">
        <v>217</v>
      </c>
      <c r="M652" s="1" t="s">
        <v>79</v>
      </c>
      <c r="N652" s="107"/>
    </row>
    <row r="653" spans="1:14" ht="18" hidden="1" customHeight="1" x14ac:dyDescent="0.2">
      <c r="A653" s="9" t="s">
        <v>1155</v>
      </c>
      <c r="B653" s="9" t="s">
        <v>1179</v>
      </c>
      <c r="C653" s="12" t="s">
        <v>1256</v>
      </c>
      <c r="D653" s="9"/>
      <c r="E653" s="11" t="s">
        <v>1186</v>
      </c>
      <c r="F653" s="55">
        <v>2253</v>
      </c>
      <c r="G653" s="65" t="s">
        <v>473</v>
      </c>
      <c r="I653" t="s">
        <v>470</v>
      </c>
      <c r="J653" s="10">
        <v>27943</v>
      </c>
      <c r="K653" s="11">
        <v>2014</v>
      </c>
      <c r="L653" t="s">
        <v>57</v>
      </c>
      <c r="M653" t="s">
        <v>79</v>
      </c>
      <c r="N653" s="107"/>
    </row>
    <row r="654" spans="1:14" ht="18" hidden="1" customHeight="1" x14ac:dyDescent="0.2">
      <c r="A654" s="9" t="s">
        <v>1155</v>
      </c>
      <c r="B654" s="9" t="s">
        <v>1179</v>
      </c>
      <c r="C654" s="12" t="s">
        <v>1257</v>
      </c>
      <c r="D654" s="9"/>
      <c r="E654" s="11" t="s">
        <v>1186</v>
      </c>
      <c r="F654" s="55">
        <v>4011</v>
      </c>
      <c r="G654" t="s">
        <v>471</v>
      </c>
      <c r="I654" t="s">
        <v>410</v>
      </c>
      <c r="J654" s="10">
        <v>19851</v>
      </c>
      <c r="K654" s="10">
        <v>34496</v>
      </c>
      <c r="L654" t="s">
        <v>154</v>
      </c>
      <c r="M654" t="s">
        <v>79</v>
      </c>
      <c r="N654" s="107" t="str">
        <f>IF(_xlfn.NUMBERVALUE(DATEDIF(J654,K654,"Y"))-Table1[[#This Row],[Κατηγορία]]&lt;0,"* Check Age *","")</f>
        <v/>
      </c>
    </row>
    <row r="655" spans="1:14" ht="18" hidden="1" customHeight="1" x14ac:dyDescent="0.2">
      <c r="A655" s="9" t="s">
        <v>1155</v>
      </c>
      <c r="B655" s="9" t="s">
        <v>1179</v>
      </c>
      <c r="C655" s="12" t="s">
        <v>1258</v>
      </c>
      <c r="D655" s="9"/>
      <c r="E655" s="11" t="s">
        <v>1186</v>
      </c>
      <c r="F655" s="55">
        <v>4374</v>
      </c>
      <c r="G655" t="s">
        <v>474</v>
      </c>
      <c r="I655" t="s">
        <v>410</v>
      </c>
      <c r="J655" s="10">
        <v>19851</v>
      </c>
      <c r="K655" s="10">
        <v>37080</v>
      </c>
      <c r="L655" t="s">
        <v>403</v>
      </c>
      <c r="M655" s="61" t="s">
        <v>85</v>
      </c>
      <c r="N655" s="107" t="str">
        <f>IF(_xlfn.NUMBERVALUE(DATEDIF(J655,K655,"Y"))-Table1[[#This Row],[Κατηγορία]]&lt;0,"* Check Age *","")</f>
        <v/>
      </c>
    </row>
    <row r="656" spans="1:14" ht="18" hidden="1" customHeight="1" x14ac:dyDescent="0.2">
      <c r="A656" s="9" t="s">
        <v>1155</v>
      </c>
      <c r="B656" s="9" t="s">
        <v>1179</v>
      </c>
      <c r="C656" s="12" t="s">
        <v>1259</v>
      </c>
      <c r="D656" s="9"/>
      <c r="E656" s="11" t="s">
        <v>1186</v>
      </c>
      <c r="F656" s="55">
        <v>4265</v>
      </c>
      <c r="G656" t="s">
        <v>475</v>
      </c>
      <c r="I656" t="s">
        <v>410</v>
      </c>
      <c r="J656" s="10">
        <v>19851</v>
      </c>
      <c r="K656" s="10">
        <v>38195</v>
      </c>
      <c r="L656" t="s">
        <v>133</v>
      </c>
      <c r="M656" t="s">
        <v>79</v>
      </c>
      <c r="N656" s="107" t="str">
        <f>IF(_xlfn.NUMBERVALUE(DATEDIF(J656,K656,"Y"))-Table1[[#This Row],[Κατηγορία]]&lt;0,"* Check Age *","")</f>
        <v/>
      </c>
    </row>
    <row r="657" spans="1:14" ht="18" hidden="1" customHeight="1" x14ac:dyDescent="0.2">
      <c r="A657" s="9" t="s">
        <v>1155</v>
      </c>
      <c r="B657" s="9" t="s">
        <v>1179</v>
      </c>
      <c r="C657" s="12" t="s">
        <v>1260</v>
      </c>
      <c r="D657" s="9"/>
      <c r="E657" s="11" t="s">
        <v>1186</v>
      </c>
      <c r="F657" s="55">
        <v>4089</v>
      </c>
      <c r="G657" t="s">
        <v>476</v>
      </c>
      <c r="I657" t="s">
        <v>410</v>
      </c>
      <c r="J657" s="10">
        <v>19851</v>
      </c>
      <c r="K657" s="10">
        <v>40031</v>
      </c>
      <c r="L657" t="s">
        <v>468</v>
      </c>
      <c r="M657" s="61" t="s">
        <v>85</v>
      </c>
      <c r="N657" s="107" t="str">
        <f>IF(_xlfn.NUMBERVALUE(DATEDIF(J657,K657,"Y"))-Table1[[#This Row],[Κατηγορία]]&lt;0,"* Check Age *","")</f>
        <v/>
      </c>
    </row>
    <row r="658" spans="1:14" ht="18" hidden="1" customHeight="1" x14ac:dyDescent="0.2">
      <c r="A658" s="9" t="s">
        <v>1155</v>
      </c>
      <c r="B658" s="9" t="s">
        <v>1179</v>
      </c>
      <c r="C658" s="12" t="s">
        <v>1261</v>
      </c>
      <c r="D658" s="9"/>
      <c r="E658" s="11" t="s">
        <v>1186</v>
      </c>
      <c r="F658" s="55">
        <v>3813</v>
      </c>
      <c r="G658" t="s">
        <v>477</v>
      </c>
      <c r="I658" t="s">
        <v>410</v>
      </c>
      <c r="J658" s="10">
        <v>19851</v>
      </c>
      <c r="K658" s="10">
        <v>41878</v>
      </c>
      <c r="L658" t="s">
        <v>57</v>
      </c>
      <c r="M658" t="s">
        <v>79</v>
      </c>
      <c r="N658" s="107" t="str">
        <f>IF(_xlfn.NUMBERVALUE(DATEDIF(J658,K658,"Y"))-Table1[[#This Row],[Κατηγορία]]&lt;0,"* Check Age *","")</f>
        <v/>
      </c>
    </row>
    <row r="659" spans="1:14" ht="18" hidden="1" customHeight="1" x14ac:dyDescent="0.2">
      <c r="A659" s="9" t="s">
        <v>1155</v>
      </c>
      <c r="B659" s="9" t="s">
        <v>1179</v>
      </c>
      <c r="C659" s="12" t="s">
        <v>1262</v>
      </c>
      <c r="D659" s="9"/>
      <c r="E659" s="11" t="s">
        <v>1186</v>
      </c>
      <c r="F659" s="55">
        <v>3852</v>
      </c>
      <c r="G659" t="s">
        <v>478</v>
      </c>
      <c r="I659" t="s">
        <v>410</v>
      </c>
      <c r="J659" s="10">
        <v>19851</v>
      </c>
      <c r="K659" s="10">
        <v>43723</v>
      </c>
      <c r="L659" t="s">
        <v>627</v>
      </c>
      <c r="M659" t="s">
        <v>79</v>
      </c>
      <c r="N659" s="107" t="str">
        <f>IF(_xlfn.NUMBERVALUE(DATEDIF(J659,K659,"Y"))-Table1[[#This Row],[Κατηγορία]]&lt;0,"* Check Age *","")</f>
        <v/>
      </c>
    </row>
    <row r="660" spans="1:14" ht="18" hidden="1" customHeight="1" x14ac:dyDescent="0.2">
      <c r="A660" s="9" t="s">
        <v>1155</v>
      </c>
      <c r="B660" s="9" t="s">
        <v>1179</v>
      </c>
      <c r="C660" s="12" t="s">
        <v>1263</v>
      </c>
      <c r="D660" s="9"/>
      <c r="E660" s="11" t="s">
        <v>1186</v>
      </c>
      <c r="F660" s="55">
        <v>3528</v>
      </c>
      <c r="G660" s="61" t="s">
        <v>1056</v>
      </c>
      <c r="I660" t="s">
        <v>410</v>
      </c>
      <c r="J660" s="10">
        <v>19851</v>
      </c>
      <c r="K660" s="10">
        <v>45445</v>
      </c>
      <c r="L660" t="s">
        <v>23</v>
      </c>
      <c r="M660" t="s">
        <v>753</v>
      </c>
      <c r="N660" s="107" t="str">
        <f>IF(_xlfn.NUMBERVALUE(DATEDIF(J660,K660,"Y"))-Table1[[#This Row],[Κατηγορία]]&lt;0,"* Check Age *","")</f>
        <v/>
      </c>
    </row>
    <row r="661" spans="1:14" ht="18" hidden="1" customHeight="1" x14ac:dyDescent="0.2">
      <c r="A661" s="9" t="s">
        <v>1155</v>
      </c>
      <c r="B661" s="9" t="s">
        <v>1179</v>
      </c>
      <c r="C661" s="12" t="s">
        <v>1264</v>
      </c>
      <c r="D661" s="9"/>
      <c r="E661" s="11" t="s">
        <v>1186</v>
      </c>
      <c r="F661" s="55">
        <v>2451</v>
      </c>
      <c r="G661" s="65" t="s">
        <v>755</v>
      </c>
      <c r="I661" t="s">
        <v>435</v>
      </c>
      <c r="J661" s="10">
        <v>15193</v>
      </c>
      <c r="K661" s="10">
        <v>44079</v>
      </c>
      <c r="L661" t="s">
        <v>23</v>
      </c>
      <c r="M661" t="s">
        <v>753</v>
      </c>
      <c r="N661" s="107" t="str">
        <f>IF(_xlfn.NUMBERVALUE(DATEDIF(J661,K661,"Y"))-Table1[[#This Row],[Κατηγορία]]&lt;0,"* Check Age *","")</f>
        <v/>
      </c>
    </row>
    <row r="662" spans="1:14" ht="18" hidden="1" customHeight="1" x14ac:dyDescent="0.2">
      <c r="A662" s="9" t="s">
        <v>1155</v>
      </c>
      <c r="B662" s="9" t="s">
        <v>1179</v>
      </c>
      <c r="C662" s="12" t="s">
        <v>1265</v>
      </c>
      <c r="D662" s="9"/>
      <c r="E662" s="11" t="s">
        <v>1186</v>
      </c>
      <c r="F662" s="55">
        <v>2019</v>
      </c>
      <c r="G662" s="65" t="s">
        <v>850</v>
      </c>
      <c r="I662" t="s">
        <v>435</v>
      </c>
      <c r="J662" s="10">
        <v>15193</v>
      </c>
      <c r="K662" s="10">
        <v>44800</v>
      </c>
      <c r="L662" t="s">
        <v>23</v>
      </c>
      <c r="M662" t="s">
        <v>15</v>
      </c>
      <c r="N662" s="107" t="str">
        <f>IF(_xlfn.NUMBERVALUE(DATEDIF(J662,K662,"Y"))-Table1[[#This Row],[Κατηγορία]]&lt;0,CONCATENATE("* Check Age = ",TEXT(DATEDIF(J662,K662,"Y"),"00"),"*"),"")</f>
        <v/>
      </c>
    </row>
    <row r="663" spans="1:14" ht="18" hidden="1" customHeight="1" x14ac:dyDescent="0.2">
      <c r="A663" s="9" t="s">
        <v>1202</v>
      </c>
      <c r="B663" t="s">
        <v>1203</v>
      </c>
      <c r="C663" s="23" t="s">
        <v>1256</v>
      </c>
      <c r="E663" s="11" t="s">
        <v>1186</v>
      </c>
      <c r="F663" s="67">
        <v>2358</v>
      </c>
      <c r="G663" s="75"/>
      <c r="H663" s="58"/>
      <c r="I663" s="1" t="s">
        <v>691</v>
      </c>
      <c r="J663" s="15">
        <v>28254</v>
      </c>
      <c r="K663" s="23">
        <v>2016</v>
      </c>
      <c r="L663" s="1" t="s">
        <v>23</v>
      </c>
      <c r="M663" s="1"/>
      <c r="N663" s="107"/>
    </row>
    <row r="664" spans="1:14" ht="18" hidden="1" customHeight="1" x14ac:dyDescent="0.2">
      <c r="A664" s="9" t="s">
        <v>1202</v>
      </c>
      <c r="B664" t="s">
        <v>1203</v>
      </c>
      <c r="C664" s="23" t="s">
        <v>1256</v>
      </c>
      <c r="E664" s="11" t="s">
        <v>1186</v>
      </c>
      <c r="F664" s="67" t="s">
        <v>715</v>
      </c>
      <c r="G664" s="75"/>
      <c r="H664" s="58"/>
      <c r="I664" s="1"/>
      <c r="J664" s="23"/>
      <c r="K664" s="23"/>
      <c r="L664" s="1"/>
      <c r="M664" s="1"/>
      <c r="N664" s="107"/>
    </row>
    <row r="665" spans="1:14" ht="18" hidden="1" customHeight="1" x14ac:dyDescent="0.2">
      <c r="A665" s="9" t="s">
        <v>1202</v>
      </c>
      <c r="B665" t="s">
        <v>1203</v>
      </c>
      <c r="C665" s="23" t="s">
        <v>1257</v>
      </c>
      <c r="E665" s="11" t="s">
        <v>1186</v>
      </c>
      <c r="F665" s="67">
        <v>2725</v>
      </c>
      <c r="G665" s="75"/>
      <c r="H665" s="58"/>
      <c r="I665" s="1" t="s">
        <v>691</v>
      </c>
      <c r="J665" s="15">
        <v>28254</v>
      </c>
      <c r="K665" s="15">
        <v>43247</v>
      </c>
      <c r="L665" s="1" t="s">
        <v>23</v>
      </c>
      <c r="M665" s="1"/>
      <c r="N665" s="107" t="str">
        <f>IF(_xlfn.NUMBERVALUE(DATEDIF(J665,K665,"Y"))-Table1[[#This Row],[Κατηγορία]]&lt;0,"* Check Age *","")</f>
        <v/>
      </c>
    </row>
    <row r="666" spans="1:14" ht="18" hidden="1" customHeight="1" x14ac:dyDescent="0.2">
      <c r="A666" s="9" t="s">
        <v>1202</v>
      </c>
      <c r="B666" t="s">
        <v>1203</v>
      </c>
      <c r="C666" s="23" t="s">
        <v>1257</v>
      </c>
      <c r="E666" s="11" t="s">
        <v>1186</v>
      </c>
      <c r="F666" s="67" t="s">
        <v>716</v>
      </c>
      <c r="G666" s="75"/>
      <c r="H666" s="58"/>
      <c r="I666" s="1"/>
      <c r="J666" s="23"/>
      <c r="K666" s="23"/>
      <c r="L666" s="1"/>
      <c r="M666" s="1"/>
      <c r="N666" s="107"/>
    </row>
    <row r="667" spans="1:14" ht="18" hidden="1" customHeight="1" x14ac:dyDescent="0.2">
      <c r="A667" s="9" t="s">
        <v>1202</v>
      </c>
      <c r="B667" t="s">
        <v>1203</v>
      </c>
      <c r="C667" s="23" t="s">
        <v>1258</v>
      </c>
      <c r="E667" s="11" t="s">
        <v>1186</v>
      </c>
      <c r="F667" s="67">
        <v>2703</v>
      </c>
      <c r="G667" s="75"/>
      <c r="H667" s="58"/>
      <c r="I667" s="1" t="s">
        <v>691</v>
      </c>
      <c r="J667" s="15">
        <v>28254</v>
      </c>
      <c r="K667" s="15">
        <v>45445</v>
      </c>
      <c r="L667" s="1" t="s">
        <v>23</v>
      </c>
      <c r="M667" s="1" t="s">
        <v>753</v>
      </c>
      <c r="N667" s="107" t="str">
        <f>IF(_xlfn.NUMBERVALUE(DATEDIF(J667,K667,"Y"))-Table1[[#This Row],[Κατηγορία]]&lt;0,"* Check Age *","")</f>
        <v/>
      </c>
    </row>
    <row r="668" spans="1:14" ht="18" hidden="1" customHeight="1" x14ac:dyDescent="0.2">
      <c r="A668" s="9" t="s">
        <v>1202</v>
      </c>
      <c r="B668" t="s">
        <v>1203</v>
      </c>
      <c r="C668" s="23" t="s">
        <v>1258</v>
      </c>
      <c r="E668" s="11" t="s">
        <v>1186</v>
      </c>
      <c r="F668" s="67" t="s">
        <v>1057</v>
      </c>
      <c r="G668" s="75"/>
      <c r="H668" s="58"/>
      <c r="I668" s="1"/>
      <c r="J668" s="23"/>
      <c r="K668" s="23"/>
      <c r="L668" s="1"/>
      <c r="M668" s="4"/>
      <c r="N668" s="107"/>
    </row>
    <row r="669" spans="1:14" ht="18" hidden="1" customHeight="1" x14ac:dyDescent="0.2">
      <c r="A669" s="9" t="s">
        <v>1202</v>
      </c>
      <c r="B669" t="s">
        <v>1203</v>
      </c>
      <c r="C669" s="23" t="s">
        <v>1259</v>
      </c>
      <c r="E669" s="11" t="s">
        <v>1186</v>
      </c>
      <c r="F669" s="67">
        <v>2688</v>
      </c>
      <c r="G669" s="75"/>
      <c r="H669" s="58"/>
      <c r="I669" s="1" t="s">
        <v>292</v>
      </c>
      <c r="J669" s="15">
        <v>24310</v>
      </c>
      <c r="K669" s="15">
        <v>43247</v>
      </c>
      <c r="L669" s="1" t="s">
        <v>23</v>
      </c>
      <c r="M669" s="1"/>
      <c r="N669" s="107" t="str">
        <f>IF(_xlfn.NUMBERVALUE(DATEDIF(J669,K669,"Y"))-Table1[[#This Row],[Κατηγορία]]&lt;0,"* Check Age *","")</f>
        <v/>
      </c>
    </row>
    <row r="670" spans="1:14" ht="18" hidden="1" customHeight="1" x14ac:dyDescent="0.2">
      <c r="A670" s="9" t="s">
        <v>1202</v>
      </c>
      <c r="B670" t="s">
        <v>1203</v>
      </c>
      <c r="C670" s="23" t="s">
        <v>1259</v>
      </c>
      <c r="E670" s="11" t="s">
        <v>1186</v>
      </c>
      <c r="F670" s="57" t="s">
        <v>705</v>
      </c>
      <c r="G670" s="1"/>
      <c r="H670" s="58"/>
      <c r="I670" s="1"/>
      <c r="J670" s="23"/>
      <c r="K670" s="23"/>
      <c r="L670" s="1"/>
      <c r="M670" s="1"/>
      <c r="N670" s="107"/>
    </row>
    <row r="671" spans="1:14" ht="18" hidden="1" customHeight="1" x14ac:dyDescent="0.2">
      <c r="A671" s="9" t="s">
        <v>1202</v>
      </c>
      <c r="B671" t="s">
        <v>1203</v>
      </c>
      <c r="C671" s="23" t="s">
        <v>1260</v>
      </c>
      <c r="E671" s="11" t="s">
        <v>1186</v>
      </c>
      <c r="F671" s="67">
        <v>2812</v>
      </c>
      <c r="G671" s="67" t="s">
        <v>838</v>
      </c>
      <c r="H671" s="58"/>
      <c r="I671" s="1" t="s">
        <v>292</v>
      </c>
      <c r="J671" s="15">
        <v>24310</v>
      </c>
      <c r="K671" s="15">
        <v>44748</v>
      </c>
      <c r="L671" s="1" t="s">
        <v>829</v>
      </c>
      <c r="M671" s="1" t="s">
        <v>85</v>
      </c>
      <c r="N671" s="107" t="str">
        <f>IF(_xlfn.NUMBERVALUE(DATEDIF(J671,K671,"Y"))-Table1[[#This Row],[Κατηγορία]]&lt;0,"* Check Age *","")</f>
        <v/>
      </c>
    </row>
    <row r="672" spans="1:14" ht="18" hidden="1" customHeight="1" x14ac:dyDescent="0.2">
      <c r="A672" s="9" t="s">
        <v>1202</v>
      </c>
      <c r="B672" t="s">
        <v>1203</v>
      </c>
      <c r="C672" s="23" t="s">
        <v>1261</v>
      </c>
      <c r="E672" s="11" t="s">
        <v>1186</v>
      </c>
      <c r="F672" s="67">
        <v>2639</v>
      </c>
      <c r="G672" s="75"/>
      <c r="H672" s="58"/>
      <c r="I672" s="1" t="s">
        <v>777</v>
      </c>
      <c r="J672" s="23"/>
      <c r="K672" s="15">
        <v>44352</v>
      </c>
      <c r="L672" s="1" t="s">
        <v>23</v>
      </c>
      <c r="M672" s="1" t="s">
        <v>753</v>
      </c>
      <c r="N672" s="107" t="str">
        <f>IF(_xlfn.NUMBERVALUE(DATEDIF(J672,K672,"Y"))-Table1[[#This Row],[Κατηγορία]]&lt;0,"* Check Age *","")</f>
        <v/>
      </c>
    </row>
    <row r="673" spans="1:14" ht="18" hidden="1" customHeight="1" x14ac:dyDescent="0.2">
      <c r="A673" s="9" t="s">
        <v>1202</v>
      </c>
      <c r="B673" t="s">
        <v>1203</v>
      </c>
      <c r="C673" s="23" t="s">
        <v>1261</v>
      </c>
      <c r="E673" s="11" t="s">
        <v>1186</v>
      </c>
      <c r="F673" s="67" t="s">
        <v>778</v>
      </c>
      <c r="G673" s="75"/>
      <c r="H673" s="58"/>
      <c r="I673" s="1"/>
      <c r="J673" s="23"/>
      <c r="K673" s="23"/>
      <c r="L673" s="1"/>
      <c r="M673" s="1"/>
      <c r="N673" s="107"/>
    </row>
    <row r="674" spans="1:14" ht="18" hidden="1" customHeight="1" x14ac:dyDescent="0.2">
      <c r="A674" s="9" t="s">
        <v>1202</v>
      </c>
      <c r="B674" t="s">
        <v>1203</v>
      </c>
      <c r="C674" s="23" t="s">
        <v>1262</v>
      </c>
      <c r="E674" s="11" t="s">
        <v>1186</v>
      </c>
      <c r="F674" s="67">
        <v>3394</v>
      </c>
      <c r="G674" s="75"/>
      <c r="H674" s="58"/>
      <c r="I674" s="1" t="s">
        <v>1434</v>
      </c>
      <c r="J674" s="15">
        <v>18954</v>
      </c>
      <c r="K674" s="15">
        <v>44079</v>
      </c>
      <c r="L674" s="1" t="s">
        <v>23</v>
      </c>
      <c r="M674" s="1" t="s">
        <v>753</v>
      </c>
      <c r="N674" s="107" t="str">
        <f>IF(_xlfn.NUMBERVALUE(DATEDIF(J674,K674,"Y"))-Table1[[#This Row],[Κατηγορία]]&lt;0,"* Check Age *","")</f>
        <v/>
      </c>
    </row>
    <row r="675" spans="1:14" ht="18" hidden="1" customHeight="1" x14ac:dyDescent="0.2">
      <c r="A675" s="9" t="s">
        <v>1202</v>
      </c>
      <c r="B675" t="s">
        <v>1203</v>
      </c>
      <c r="C675" s="23" t="s">
        <v>1262</v>
      </c>
      <c r="E675" s="11" t="s">
        <v>1186</v>
      </c>
      <c r="F675" s="67" t="s">
        <v>756</v>
      </c>
      <c r="G675" s="75"/>
      <c r="H675" s="58"/>
      <c r="I675" s="1"/>
      <c r="J675" s="23"/>
      <c r="K675" s="23"/>
      <c r="L675" s="1"/>
      <c r="M675" s="1"/>
      <c r="N675" s="107"/>
    </row>
    <row r="676" spans="1:14" ht="18" hidden="1" customHeight="1" x14ac:dyDescent="0.2">
      <c r="A676" s="9" t="s">
        <v>1202</v>
      </c>
      <c r="B676" t="s">
        <v>1203</v>
      </c>
      <c r="C676" s="23" t="s">
        <v>1263</v>
      </c>
      <c r="E676" s="11" t="s">
        <v>1186</v>
      </c>
      <c r="F676" s="67">
        <v>3824</v>
      </c>
      <c r="G676" s="75"/>
      <c r="H676" s="58"/>
      <c r="I676" s="1" t="s">
        <v>1434</v>
      </c>
      <c r="J676" s="15">
        <v>18954</v>
      </c>
      <c r="K676" s="15">
        <v>44750</v>
      </c>
      <c r="L676" s="1" t="s">
        <v>829</v>
      </c>
      <c r="M676" s="1" t="s">
        <v>85</v>
      </c>
      <c r="N676" s="107" t="str">
        <f>IF(_xlfn.NUMBERVALUE(DATEDIF(J676,K676,"Y"))-Table1[[#This Row],[Κατηγορία]]&lt;0,"* Check Age *","")</f>
        <v/>
      </c>
    </row>
    <row r="677" spans="1:14" ht="18" hidden="1" customHeight="1" x14ac:dyDescent="0.2">
      <c r="A677" s="9" t="s">
        <v>1202</v>
      </c>
      <c r="B677" t="s">
        <v>1203</v>
      </c>
      <c r="C677" s="23" t="s">
        <v>1263</v>
      </c>
      <c r="E677" s="11" t="s">
        <v>1186</v>
      </c>
      <c r="F677" s="67" t="s">
        <v>830</v>
      </c>
      <c r="G677" s="75"/>
      <c r="H677" s="58"/>
      <c r="I677" s="1"/>
      <c r="J677" s="23"/>
      <c r="K677" s="23"/>
      <c r="L677" s="1"/>
      <c r="M677" s="1"/>
      <c r="N677" s="107"/>
    </row>
    <row r="678" spans="1:14" ht="18" hidden="1" customHeight="1" x14ac:dyDescent="0.2">
      <c r="A678" s="9" t="s">
        <v>1155</v>
      </c>
      <c r="B678" s="9" t="s">
        <v>291</v>
      </c>
      <c r="C678" s="12" t="s">
        <v>1256</v>
      </c>
      <c r="D678" s="9" t="s">
        <v>1242</v>
      </c>
      <c r="E678" s="11" t="s">
        <v>1186</v>
      </c>
      <c r="F678" s="52" t="s">
        <v>332</v>
      </c>
      <c r="I678" t="s">
        <v>333</v>
      </c>
      <c r="J678" s="10">
        <v>30060</v>
      </c>
      <c r="K678" s="10">
        <v>42878</v>
      </c>
      <c r="L678" t="s">
        <v>334</v>
      </c>
      <c r="M678" t="s">
        <v>335</v>
      </c>
      <c r="N678" s="107" t="str">
        <f>IF(_xlfn.NUMBERVALUE(DATEDIF(J678,K678,"Y"))-Table1[[#This Row],[Κατηγορία]]&lt;0,"* Check Age *","")</f>
        <v/>
      </c>
    </row>
    <row r="679" spans="1:14" ht="18" hidden="1" customHeight="1" x14ac:dyDescent="0.2">
      <c r="A679" s="9" t="s">
        <v>1155</v>
      </c>
      <c r="B679" s="9" t="s">
        <v>291</v>
      </c>
      <c r="C679" s="12" t="s">
        <v>1257</v>
      </c>
      <c r="D679" s="9" t="s">
        <v>1242</v>
      </c>
      <c r="E679" s="11" t="s">
        <v>1186</v>
      </c>
      <c r="F679" s="52" t="s">
        <v>412</v>
      </c>
      <c r="I679" t="s">
        <v>409</v>
      </c>
      <c r="J679" s="10">
        <v>25882</v>
      </c>
      <c r="K679" s="11">
        <v>2010</v>
      </c>
      <c r="L679" t="s">
        <v>130</v>
      </c>
      <c r="N679" s="107"/>
    </row>
    <row r="680" spans="1:14" ht="18" hidden="1" customHeight="1" x14ac:dyDescent="0.2">
      <c r="A680" s="9" t="s">
        <v>1155</v>
      </c>
      <c r="B680" s="9" t="s">
        <v>291</v>
      </c>
      <c r="C680" s="12" t="s">
        <v>1258</v>
      </c>
      <c r="D680" s="9" t="s">
        <v>1242</v>
      </c>
      <c r="E680" s="11" t="s">
        <v>1186</v>
      </c>
      <c r="F680" s="52" t="s">
        <v>413</v>
      </c>
      <c r="I680" t="s">
        <v>410</v>
      </c>
      <c r="J680" s="10">
        <v>19851</v>
      </c>
      <c r="K680" s="10">
        <v>37078</v>
      </c>
      <c r="L680" t="s">
        <v>403</v>
      </c>
      <c r="M680" s="61" t="s">
        <v>85</v>
      </c>
      <c r="N680" s="107" t="str">
        <f>IF(_xlfn.NUMBERVALUE(DATEDIF(J680,K680,"Y"))-Table1[[#This Row],[Κατηγορία]]&lt;0,"* Check Age *","")</f>
        <v/>
      </c>
    </row>
    <row r="681" spans="1:14" ht="18" hidden="1" customHeight="1" x14ac:dyDescent="0.2">
      <c r="A681" s="9" t="s">
        <v>1155</v>
      </c>
      <c r="B681" s="9" t="s">
        <v>291</v>
      </c>
      <c r="C681" s="12" t="s">
        <v>1259</v>
      </c>
      <c r="D681" s="9" t="s">
        <v>1243</v>
      </c>
      <c r="E681" s="11" t="s">
        <v>1186</v>
      </c>
      <c r="F681" s="52" t="s">
        <v>414</v>
      </c>
      <c r="I681" t="s">
        <v>410</v>
      </c>
      <c r="J681" s="10">
        <v>19851</v>
      </c>
      <c r="K681" s="10">
        <v>38158</v>
      </c>
      <c r="L681" t="s">
        <v>44</v>
      </c>
      <c r="M681" t="s">
        <v>726</v>
      </c>
      <c r="N681" s="107" t="str">
        <f>IF(_xlfn.NUMBERVALUE(DATEDIF(J681,K681,"Y"))-Table1[[#This Row],[Κατηγορία]]&lt;0,"* Check Age *","")</f>
        <v/>
      </c>
    </row>
    <row r="682" spans="1:14" ht="18" hidden="1" customHeight="1" x14ac:dyDescent="0.2">
      <c r="A682" s="9" t="s">
        <v>1155</v>
      </c>
      <c r="B682" s="9" t="s">
        <v>291</v>
      </c>
      <c r="C682" s="12" t="s">
        <v>1260</v>
      </c>
      <c r="D682" s="9" t="s">
        <v>1244</v>
      </c>
      <c r="E682" s="11" t="s">
        <v>1186</v>
      </c>
      <c r="F682" s="52" t="s">
        <v>415</v>
      </c>
      <c r="I682" t="s">
        <v>410</v>
      </c>
      <c r="J682" s="10">
        <v>19851</v>
      </c>
      <c r="K682" s="10">
        <v>40327</v>
      </c>
      <c r="L682" t="s">
        <v>302</v>
      </c>
      <c r="M682" t="s">
        <v>729</v>
      </c>
      <c r="N682" s="107" t="str">
        <f>IF(_xlfn.NUMBERVALUE(DATEDIF(J682,K682,"Y"))-Table1[[#This Row],[Κατηγορία]]&lt;0,"* Check Age *","")</f>
        <v/>
      </c>
    </row>
    <row r="683" spans="1:14" ht="18" hidden="1" customHeight="1" x14ac:dyDescent="0.2">
      <c r="A683" s="9" t="s">
        <v>1155</v>
      </c>
      <c r="B683" s="9" t="s">
        <v>291</v>
      </c>
      <c r="C683" s="12" t="s">
        <v>1261</v>
      </c>
      <c r="D683" s="9" t="s">
        <v>1245</v>
      </c>
      <c r="E683" s="11" t="s">
        <v>1186</v>
      </c>
      <c r="F683" s="52" t="s">
        <v>415</v>
      </c>
      <c r="I683" t="s">
        <v>410</v>
      </c>
      <c r="J683" s="10">
        <v>19851</v>
      </c>
      <c r="K683" s="10">
        <v>41811</v>
      </c>
      <c r="L683" s="61" t="s">
        <v>60</v>
      </c>
      <c r="M683" t="s">
        <v>343</v>
      </c>
      <c r="N683" s="107" t="str">
        <f>IF(_xlfn.NUMBERVALUE(DATEDIF(J683,K683,"Y"))-Table1[[#This Row],[Κατηγορία]]&lt;0,"* Check Age *","")</f>
        <v/>
      </c>
    </row>
    <row r="684" spans="1:14" ht="18" hidden="1" customHeight="1" x14ac:dyDescent="0.2">
      <c r="A684" s="9" t="s">
        <v>1155</v>
      </c>
      <c r="B684" s="9" t="s">
        <v>291</v>
      </c>
      <c r="C684" s="12" t="s">
        <v>1262</v>
      </c>
      <c r="D684" s="9" t="s">
        <v>1245</v>
      </c>
      <c r="E684" s="11" t="s">
        <v>1186</v>
      </c>
      <c r="F684" s="52" t="s">
        <v>416</v>
      </c>
      <c r="I684" t="s">
        <v>410</v>
      </c>
      <c r="J684" s="10">
        <v>19851</v>
      </c>
      <c r="K684" s="10">
        <v>43646</v>
      </c>
      <c r="L684" s="61" t="s">
        <v>44</v>
      </c>
      <c r="M684" s="61" t="s">
        <v>300</v>
      </c>
      <c r="N684" s="107" t="str">
        <f>IF(_xlfn.NUMBERVALUE(DATEDIF(J684,K684,"Y"))-Table1[[#This Row],[Κατηγορία]]&lt;0,"* Check Age *","")</f>
        <v/>
      </c>
    </row>
    <row r="685" spans="1:14" ht="18" hidden="1" customHeight="1" x14ac:dyDescent="0.2">
      <c r="A685" s="9" t="s">
        <v>1155</v>
      </c>
      <c r="B685" s="9" t="s">
        <v>291</v>
      </c>
      <c r="C685" s="12" t="s">
        <v>1263</v>
      </c>
      <c r="D685" s="9" t="s">
        <v>1246</v>
      </c>
      <c r="E685" s="11" t="s">
        <v>1186</v>
      </c>
      <c r="F685" s="52" t="s">
        <v>417</v>
      </c>
      <c r="I685" t="s">
        <v>418</v>
      </c>
      <c r="J685" s="10">
        <v>17253</v>
      </c>
      <c r="K685" s="10">
        <v>42890</v>
      </c>
      <c r="L685" s="61" t="s">
        <v>391</v>
      </c>
      <c r="N685" s="107" t="str">
        <f>IF(_xlfn.NUMBERVALUE(DATEDIF(J685,K685,"Y"))-Table1[[#This Row],[Κατηγορία]]&lt;0,"* Check Age *","")</f>
        <v/>
      </c>
    </row>
    <row r="686" spans="1:14" ht="18" hidden="1" customHeight="1" x14ac:dyDescent="0.2">
      <c r="A686" s="9" t="s">
        <v>1155</v>
      </c>
      <c r="B686" s="9" t="s">
        <v>291</v>
      </c>
      <c r="C686" s="12" t="s">
        <v>1264</v>
      </c>
      <c r="D686" s="9" t="s">
        <v>1246</v>
      </c>
      <c r="E686" s="11" t="s">
        <v>1186</v>
      </c>
      <c r="F686" s="52" t="s">
        <v>419</v>
      </c>
      <c r="I686" t="s">
        <v>420</v>
      </c>
      <c r="J686" s="10">
        <v>13945</v>
      </c>
      <c r="K686" s="11">
        <v>2015</v>
      </c>
      <c r="L686" t="s">
        <v>145</v>
      </c>
      <c r="M686" t="s">
        <v>343</v>
      </c>
      <c r="N686" s="107"/>
    </row>
    <row r="687" spans="1:14" ht="18" hidden="1" customHeight="1" x14ac:dyDescent="0.2">
      <c r="A687" s="9" t="s">
        <v>1155</v>
      </c>
      <c r="B687" s="9" t="s">
        <v>291</v>
      </c>
      <c r="C687" s="12" t="s">
        <v>1265</v>
      </c>
      <c r="D687" s="9" t="s">
        <v>1247</v>
      </c>
      <c r="E687" s="11" t="s">
        <v>1186</v>
      </c>
      <c r="F687" s="52" t="s">
        <v>421</v>
      </c>
      <c r="I687" t="s">
        <v>439</v>
      </c>
      <c r="J687" s="10">
        <v>12546</v>
      </c>
      <c r="K687" s="58">
        <v>2015</v>
      </c>
      <c r="L687" s="1" t="s">
        <v>95</v>
      </c>
      <c r="M687" s="1" t="s">
        <v>15</v>
      </c>
      <c r="N687" s="107"/>
    </row>
    <row r="688" spans="1:14" ht="18" hidden="1" customHeight="1" x14ac:dyDescent="0.2">
      <c r="A688" s="9" t="s">
        <v>1155</v>
      </c>
      <c r="B688" s="9" t="s">
        <v>291</v>
      </c>
      <c r="C688" s="12" t="s">
        <v>1266</v>
      </c>
      <c r="D688" s="9" t="s">
        <v>1247</v>
      </c>
      <c r="E688" s="11" t="s">
        <v>1186</v>
      </c>
      <c r="F688" s="52" t="s">
        <v>819</v>
      </c>
      <c r="I688" t="s">
        <v>212</v>
      </c>
      <c r="J688" s="10">
        <v>13492</v>
      </c>
      <c r="K688" s="10">
        <v>44709</v>
      </c>
      <c r="L688" t="s">
        <v>44</v>
      </c>
      <c r="M688" t="s">
        <v>726</v>
      </c>
      <c r="N688" s="107" t="str">
        <f>IF(_xlfn.NUMBERVALUE(DATEDIF(J688,K688,"Y"))-Table1[[#This Row],[Κατηγορία]]&lt;0,"* Check Age *","")</f>
        <v/>
      </c>
    </row>
    <row r="689" spans="1:15" ht="18" hidden="1" customHeight="1" x14ac:dyDescent="0.2">
      <c r="A689" s="128" t="s">
        <v>1155</v>
      </c>
      <c r="B689" s="128" t="s">
        <v>291</v>
      </c>
      <c r="C689" s="129" t="s">
        <v>1267</v>
      </c>
      <c r="D689" s="128" t="s">
        <v>1247</v>
      </c>
      <c r="E689" s="130" t="s">
        <v>1186</v>
      </c>
      <c r="F689" s="131" t="s">
        <v>408</v>
      </c>
      <c r="G689" s="132"/>
      <c r="H689" s="130"/>
      <c r="I689" s="132" t="s">
        <v>337</v>
      </c>
      <c r="J689" s="133">
        <v>9118</v>
      </c>
      <c r="K689" s="133">
        <v>41811</v>
      </c>
      <c r="L689" s="132" t="s">
        <v>60</v>
      </c>
      <c r="M689" s="132" t="s">
        <v>40</v>
      </c>
      <c r="N689" s="134" t="str">
        <f>IF(_xlfn.NUMBERVALUE(DATEDIF(J689,K689,"Y"))-Table1[[#This Row],[Κατηγορία]]&lt;0,CONCATENATE("* Check Age = ",TEXT(DATEDIF(J689,K689,"Y"),"00"),"*"),"")</f>
        <v>* Check Age = 89*</v>
      </c>
      <c r="O689" s="132" t="s">
        <v>1427</v>
      </c>
    </row>
    <row r="690" spans="1:15" ht="18" hidden="1" customHeight="1" x14ac:dyDescent="0.2">
      <c r="A690" s="9" t="s">
        <v>1155</v>
      </c>
      <c r="B690" s="9" t="s">
        <v>291</v>
      </c>
      <c r="C690" s="12" t="s">
        <v>1268</v>
      </c>
      <c r="D690" s="9" t="s">
        <v>1247</v>
      </c>
      <c r="E690" s="11" t="s">
        <v>1186</v>
      </c>
      <c r="F690" s="52" t="s">
        <v>407</v>
      </c>
      <c r="I690" t="s">
        <v>62</v>
      </c>
      <c r="J690" s="10">
        <v>8298</v>
      </c>
      <c r="K690" s="10">
        <v>43043</v>
      </c>
      <c r="L690" t="s">
        <v>27</v>
      </c>
      <c r="M690" t="s">
        <v>177</v>
      </c>
      <c r="N690" s="107" t="str">
        <f>IF(_xlfn.NUMBERVALUE(DATEDIF(J690,K690,"Y"))-Table1[[#This Row],[Κατηγορία]]&lt;0,"* Check Age *","")</f>
        <v/>
      </c>
    </row>
    <row r="691" spans="1:15" ht="18" hidden="1" customHeight="1" x14ac:dyDescent="0.2">
      <c r="A691" s="9" t="s">
        <v>1155</v>
      </c>
      <c r="B691" s="9" t="s">
        <v>291</v>
      </c>
      <c r="C691" s="12">
        <v>100</v>
      </c>
      <c r="D691" s="9" t="s">
        <v>1247</v>
      </c>
      <c r="E691" s="11" t="s">
        <v>1186</v>
      </c>
      <c r="F691" s="52" t="s">
        <v>422</v>
      </c>
      <c r="I691" t="s">
        <v>65</v>
      </c>
      <c r="J691" s="10">
        <v>5645</v>
      </c>
      <c r="K691" s="11">
        <v>2016</v>
      </c>
      <c r="L691" t="s">
        <v>66</v>
      </c>
      <c r="M691" t="s">
        <v>40</v>
      </c>
      <c r="N691" s="107"/>
    </row>
    <row r="692" spans="1:15" ht="18" hidden="1" customHeight="1" x14ac:dyDescent="0.2">
      <c r="A692" s="9" t="s">
        <v>1202</v>
      </c>
      <c r="B692" t="s">
        <v>291</v>
      </c>
      <c r="C692" s="23" t="s">
        <v>1256</v>
      </c>
      <c r="D692" t="s">
        <v>1246</v>
      </c>
      <c r="E692" s="11" t="s">
        <v>1186</v>
      </c>
      <c r="F692" s="57" t="s">
        <v>675</v>
      </c>
      <c r="G692" s="1"/>
      <c r="H692" s="58"/>
      <c r="I692" s="1" t="s">
        <v>294</v>
      </c>
      <c r="J692" s="15">
        <v>25934</v>
      </c>
      <c r="K692" s="23">
        <v>2006</v>
      </c>
      <c r="L692" s="1" t="s">
        <v>117</v>
      </c>
      <c r="M692" s="1"/>
      <c r="N692" s="107"/>
    </row>
    <row r="693" spans="1:15" ht="18" hidden="1" customHeight="1" x14ac:dyDescent="0.2">
      <c r="A693" s="9" t="s">
        <v>1202</v>
      </c>
      <c r="B693" t="s">
        <v>291</v>
      </c>
      <c r="C693" s="23" t="s">
        <v>1257</v>
      </c>
      <c r="D693" t="s">
        <v>1246</v>
      </c>
      <c r="E693" s="11" t="s">
        <v>1186</v>
      </c>
      <c r="F693" s="57" t="s">
        <v>676</v>
      </c>
      <c r="G693" s="1"/>
      <c r="H693" s="58"/>
      <c r="I693" s="1" t="s">
        <v>294</v>
      </c>
      <c r="J693" s="15">
        <v>25934</v>
      </c>
      <c r="K693" s="23">
        <v>2011</v>
      </c>
      <c r="L693" s="1" t="s">
        <v>23</v>
      </c>
      <c r="M693" s="1"/>
      <c r="N693" s="107"/>
    </row>
    <row r="694" spans="1:15" ht="18" hidden="1" customHeight="1" x14ac:dyDescent="0.2">
      <c r="A694" s="9" t="s">
        <v>1202</v>
      </c>
      <c r="B694" t="s">
        <v>291</v>
      </c>
      <c r="C694" s="23" t="s">
        <v>1258</v>
      </c>
      <c r="D694" t="s">
        <v>1246</v>
      </c>
      <c r="E694" s="11" t="s">
        <v>1186</v>
      </c>
      <c r="F694" s="57" t="s">
        <v>293</v>
      </c>
      <c r="G694" s="1"/>
      <c r="H694" s="58"/>
      <c r="I694" s="1" t="s">
        <v>294</v>
      </c>
      <c r="J694" s="15">
        <v>25934</v>
      </c>
      <c r="K694" s="15">
        <v>43603</v>
      </c>
      <c r="L694" s="1" t="s">
        <v>117</v>
      </c>
      <c r="M694" s="1" t="s">
        <v>295</v>
      </c>
      <c r="N694" s="107" t="str">
        <f>IF(_xlfn.NUMBERVALUE(DATEDIF(J694,K694,"Y"))-Table1[[#This Row],[Κατηγορία]]&lt;0,"* Check Age *","")</f>
        <v/>
      </c>
    </row>
    <row r="695" spans="1:15" ht="18" hidden="1" customHeight="1" x14ac:dyDescent="0.2">
      <c r="A695" s="9" t="s">
        <v>1202</v>
      </c>
      <c r="B695" t="s">
        <v>291</v>
      </c>
      <c r="C695" s="23" t="s">
        <v>1259</v>
      </c>
      <c r="D695" t="s">
        <v>1247</v>
      </c>
      <c r="E695" s="11" t="s">
        <v>1186</v>
      </c>
      <c r="F695" s="57" t="s">
        <v>1274</v>
      </c>
      <c r="G695" s="1"/>
      <c r="H695" s="58"/>
      <c r="I695" s="1" t="s">
        <v>688</v>
      </c>
      <c r="J695" s="15">
        <v>27505</v>
      </c>
      <c r="K695" s="15">
        <v>45808</v>
      </c>
      <c r="L695" s="1" t="s">
        <v>1273</v>
      </c>
      <c r="M695" s="1" t="s">
        <v>1271</v>
      </c>
      <c r="N695" s="107" t="str">
        <f>IF(_xlfn.NUMBERVALUE(DATEDIF(J695,K695,"Y"))-Table1[[#This Row],[Κατηγορία]]&lt;0,"* Check Age *","")</f>
        <v/>
      </c>
    </row>
    <row r="696" spans="1:15" ht="18" hidden="1" customHeight="1" x14ac:dyDescent="0.2">
      <c r="A696" s="9" t="s">
        <v>1202</v>
      </c>
      <c r="B696" t="s">
        <v>291</v>
      </c>
      <c r="C696" s="23" t="s">
        <v>1260</v>
      </c>
      <c r="D696" t="s">
        <v>1247</v>
      </c>
      <c r="E696" s="11" t="s">
        <v>1186</v>
      </c>
      <c r="F696" s="57" t="s">
        <v>677</v>
      </c>
      <c r="G696" s="1"/>
      <c r="H696" s="58"/>
      <c r="I696" s="1" t="s">
        <v>678</v>
      </c>
      <c r="J696" s="15">
        <v>22268</v>
      </c>
      <c r="K696" s="15">
        <v>43729</v>
      </c>
      <c r="L696" s="1" t="s">
        <v>35</v>
      </c>
      <c r="M696" s="1" t="s">
        <v>15</v>
      </c>
      <c r="N696" s="107" t="str">
        <f>IF(_xlfn.NUMBERVALUE(DATEDIF(J696,K696,"Y"))-Table1[[#This Row],[Κατηγορία]]&lt;0,"* Check Age *","")</f>
        <v/>
      </c>
    </row>
    <row r="697" spans="1:15" ht="18" hidden="1" customHeight="1" x14ac:dyDescent="0.2">
      <c r="A697" s="9" t="s">
        <v>1202</v>
      </c>
      <c r="B697" t="s">
        <v>291</v>
      </c>
      <c r="C697" s="23" t="s">
        <v>1261</v>
      </c>
      <c r="D697" t="s">
        <v>1247</v>
      </c>
      <c r="E697" s="11" t="s">
        <v>1186</v>
      </c>
      <c r="F697" s="57" t="s">
        <v>910</v>
      </c>
      <c r="G697" s="1"/>
      <c r="H697" s="58"/>
      <c r="I697" s="1" t="s">
        <v>678</v>
      </c>
      <c r="J697" s="15">
        <v>22268</v>
      </c>
      <c r="K697" s="15">
        <v>44829</v>
      </c>
      <c r="L697" s="1" t="s">
        <v>95</v>
      </c>
      <c r="M697" s="1" t="s">
        <v>15</v>
      </c>
      <c r="N697" s="107" t="str">
        <f>IF(_xlfn.NUMBERVALUE(DATEDIF(J697,K697,"Y"))-Table1[[#This Row],[Κατηγορία]]&lt;0,"* Check Age *","")</f>
        <v/>
      </c>
    </row>
    <row r="698" spans="1:15" ht="18" hidden="1" customHeight="1" x14ac:dyDescent="0.2">
      <c r="A698" s="9" t="s">
        <v>1202</v>
      </c>
      <c r="B698" t="s">
        <v>291</v>
      </c>
      <c r="C698" s="23" t="s">
        <v>1262</v>
      </c>
      <c r="D698" t="s">
        <v>1247</v>
      </c>
      <c r="E698" s="11" t="s">
        <v>1186</v>
      </c>
      <c r="F698" s="57" t="s">
        <v>679</v>
      </c>
      <c r="G698" s="1"/>
      <c r="H698" s="58"/>
      <c r="I698" s="1" t="s">
        <v>1434</v>
      </c>
      <c r="J698" s="15">
        <v>18954</v>
      </c>
      <c r="K698" s="15">
        <v>43595</v>
      </c>
      <c r="L698" s="1" t="s">
        <v>434</v>
      </c>
      <c r="M698" s="1"/>
      <c r="N698" s="107" t="str">
        <f>IF(_xlfn.NUMBERVALUE(DATEDIF(J698,K698,"Y"))-Table1[[#This Row],[Κατηγορία]]&lt;0,"* Check Age *","")</f>
        <v/>
      </c>
    </row>
    <row r="699" spans="1:15" ht="18" hidden="1" customHeight="1" x14ac:dyDescent="0.2">
      <c r="A699" s="9" t="s">
        <v>1202</v>
      </c>
      <c r="B699" t="s">
        <v>291</v>
      </c>
      <c r="C699" s="23" t="s">
        <v>1263</v>
      </c>
      <c r="D699" t="s">
        <v>1247</v>
      </c>
      <c r="E699" s="11" t="s">
        <v>1186</v>
      </c>
      <c r="F699" s="57" t="s">
        <v>817</v>
      </c>
      <c r="G699" s="1"/>
      <c r="H699" s="58"/>
      <c r="I699" s="1" t="s">
        <v>1434</v>
      </c>
      <c r="J699" s="15">
        <v>18954</v>
      </c>
      <c r="K699" s="15">
        <v>44709</v>
      </c>
      <c r="L699" s="1" t="s">
        <v>23</v>
      </c>
      <c r="M699" s="1" t="s">
        <v>818</v>
      </c>
      <c r="N699" s="107" t="str">
        <f>IF(_xlfn.NUMBERVALUE(DATEDIF(J699,K699,"Y"))-Table1[[#This Row],[Κατηγορία]]&lt;0,"* Check Age *","")</f>
        <v/>
      </c>
    </row>
    <row r="700" spans="1:15" ht="18" hidden="1" customHeight="1" x14ac:dyDescent="0.2">
      <c r="A700" s="9" t="s">
        <v>1202</v>
      </c>
      <c r="B700" t="s">
        <v>291</v>
      </c>
      <c r="C700" s="23" t="s">
        <v>1264</v>
      </c>
      <c r="D700" t="s">
        <v>1248</v>
      </c>
      <c r="E700" s="11" t="s">
        <v>1186</v>
      </c>
      <c r="F700" s="57" t="s">
        <v>681</v>
      </c>
      <c r="G700" s="1"/>
      <c r="H700" s="58"/>
      <c r="I700" s="1" t="s">
        <v>286</v>
      </c>
      <c r="J700" s="15">
        <v>12394</v>
      </c>
      <c r="K700" s="23">
        <v>2013</v>
      </c>
      <c r="L700" s="1" t="s">
        <v>215</v>
      </c>
      <c r="M700" s="1" t="s">
        <v>15</v>
      </c>
      <c r="N700" s="107"/>
    </row>
    <row r="701" spans="1:15" ht="18" hidden="1" customHeight="1" x14ac:dyDescent="0.2">
      <c r="A701" s="9" t="s">
        <v>1202</v>
      </c>
      <c r="B701" t="s">
        <v>291</v>
      </c>
      <c r="C701" s="23" t="s">
        <v>1265</v>
      </c>
      <c r="D701" t="s">
        <v>1248</v>
      </c>
      <c r="E701" s="11" t="s">
        <v>1186</v>
      </c>
      <c r="F701" s="57" t="s">
        <v>682</v>
      </c>
      <c r="G701" s="1"/>
      <c r="H701" s="58"/>
      <c r="I701" s="1" t="s">
        <v>286</v>
      </c>
      <c r="J701" s="15">
        <v>12394</v>
      </c>
      <c r="K701" s="23">
        <v>2014</v>
      </c>
      <c r="L701" s="1" t="s">
        <v>35</v>
      </c>
      <c r="M701" s="1" t="s">
        <v>15</v>
      </c>
      <c r="N701" s="107"/>
    </row>
    <row r="702" spans="1:15" ht="18" hidden="1" customHeight="1" x14ac:dyDescent="0.2">
      <c r="A702" s="9" t="s">
        <v>1202</v>
      </c>
      <c r="B702" t="s">
        <v>291</v>
      </c>
      <c r="C702" s="23" t="s">
        <v>1266</v>
      </c>
      <c r="D702" t="s">
        <v>1248</v>
      </c>
      <c r="E702" s="11" t="s">
        <v>1186</v>
      </c>
      <c r="F702" s="57" t="s">
        <v>683</v>
      </c>
      <c r="G702" s="1"/>
      <c r="H702" s="58"/>
      <c r="I702" s="1" t="s">
        <v>286</v>
      </c>
      <c r="J702" s="15">
        <v>12394</v>
      </c>
      <c r="K702" s="23">
        <v>2019</v>
      </c>
      <c r="L702" s="1" t="s">
        <v>122</v>
      </c>
      <c r="M702" s="1" t="s">
        <v>40</v>
      </c>
      <c r="N702" s="107"/>
    </row>
    <row r="703" spans="1:15" ht="18" hidden="1" customHeight="1" x14ac:dyDescent="0.2">
      <c r="A703" s="9" t="s">
        <v>1202</v>
      </c>
      <c r="B703" t="s">
        <v>291</v>
      </c>
      <c r="C703" s="23" t="s">
        <v>1267</v>
      </c>
      <c r="D703" t="s">
        <v>1248</v>
      </c>
      <c r="E703" s="11" t="s">
        <v>1186</v>
      </c>
      <c r="F703" s="57" t="s">
        <v>1131</v>
      </c>
      <c r="G703" s="1"/>
      <c r="H703" s="58"/>
      <c r="I703" s="1" t="s">
        <v>286</v>
      </c>
      <c r="J703" s="15">
        <v>12394</v>
      </c>
      <c r="K703" s="15">
        <v>45732</v>
      </c>
      <c r="L703" s="1" t="s">
        <v>1132</v>
      </c>
      <c r="M703" s="1" t="s">
        <v>1133</v>
      </c>
      <c r="N703" s="107" t="str">
        <f>IF(_xlfn.NUMBERVALUE(DATEDIF(J703,K703,"Y"))-Table1[[#This Row],[Κατηγορία]]&lt;0,"* Check Age *","")</f>
        <v/>
      </c>
    </row>
    <row r="704" spans="1:15" ht="18" hidden="1" customHeight="1" x14ac:dyDescent="0.2">
      <c r="A704" s="9" t="s">
        <v>1155</v>
      </c>
      <c r="B704" s="9" t="s">
        <v>296</v>
      </c>
      <c r="C704" s="12" t="s">
        <v>1256</v>
      </c>
      <c r="D704" s="9" t="s">
        <v>1242</v>
      </c>
      <c r="E704" s="11" t="s">
        <v>1186</v>
      </c>
      <c r="F704" s="52" t="s">
        <v>440</v>
      </c>
      <c r="G704" s="61"/>
      <c r="I704" s="61" t="s">
        <v>442</v>
      </c>
      <c r="J704" s="10">
        <v>26833</v>
      </c>
      <c r="K704" s="10">
        <v>39600</v>
      </c>
      <c r="L704" s="61" t="s">
        <v>27</v>
      </c>
      <c r="M704" s="61"/>
      <c r="N704" s="107" t="str">
        <f>IF(_xlfn.NUMBERVALUE(DATEDIF(J704,K704,"Y"))-Table1[[#This Row],[Κατηγορία]]&lt;0,CONCATENATE("* Check Age = ",TEXT(DATEDIF(J704,K704,"Y"),"00"),"*"),"")</f>
        <v>* Check Age = 34*</v>
      </c>
      <c r="O704" t="s">
        <v>1427</v>
      </c>
    </row>
    <row r="705" spans="1:14" ht="18" hidden="1" customHeight="1" x14ac:dyDescent="0.2">
      <c r="A705" s="9" t="s">
        <v>1155</v>
      </c>
      <c r="B705" s="9" t="s">
        <v>296</v>
      </c>
      <c r="C705" s="12" t="s">
        <v>1257</v>
      </c>
      <c r="D705" s="9" t="s">
        <v>1242</v>
      </c>
      <c r="E705" s="11" t="s">
        <v>1186</v>
      </c>
      <c r="F705" s="52" t="s">
        <v>441</v>
      </c>
      <c r="G705" s="61"/>
      <c r="I705" s="61" t="s">
        <v>442</v>
      </c>
      <c r="J705" s="10">
        <v>26833</v>
      </c>
      <c r="K705" s="10">
        <v>41476</v>
      </c>
      <c r="L705" s="61" t="s">
        <v>44</v>
      </c>
      <c r="M705" s="61"/>
      <c r="N705" s="107" t="str">
        <f>IF(_xlfn.NUMBERVALUE(DATEDIF(J705,K705,"Y"))-Table1[[#This Row],[Κατηγορία]]&lt;0,"* Check Age *","")</f>
        <v/>
      </c>
    </row>
    <row r="706" spans="1:14" ht="18" hidden="1" customHeight="1" x14ac:dyDescent="0.2">
      <c r="A706" s="9" t="s">
        <v>1155</v>
      </c>
      <c r="B706" s="9" t="s">
        <v>296</v>
      </c>
      <c r="C706" s="12" t="s">
        <v>1258</v>
      </c>
      <c r="D706" s="9" t="s">
        <v>1242</v>
      </c>
      <c r="E706" s="11" t="s">
        <v>1186</v>
      </c>
      <c r="F706" s="52" t="s">
        <v>443</v>
      </c>
      <c r="G706" s="61"/>
      <c r="I706" t="s">
        <v>410</v>
      </c>
      <c r="J706" s="10">
        <v>19851</v>
      </c>
      <c r="K706" s="10">
        <v>36698</v>
      </c>
      <c r="L706" s="61" t="s">
        <v>44</v>
      </c>
      <c r="M706" s="61" t="s">
        <v>727</v>
      </c>
      <c r="N706" s="107" t="str">
        <f>IF(_xlfn.NUMBERVALUE(DATEDIF(J706,K706,"Y"))-Table1[[#This Row],[Κατηγορία]]&lt;0,"* Check Age *","")</f>
        <v/>
      </c>
    </row>
    <row r="707" spans="1:14" ht="18" hidden="1" customHeight="1" x14ac:dyDescent="0.2">
      <c r="A707" s="9" t="s">
        <v>1155</v>
      </c>
      <c r="B707" s="9" t="s">
        <v>296</v>
      </c>
      <c r="C707" s="12" t="s">
        <v>1259</v>
      </c>
      <c r="D707" s="9" t="s">
        <v>1243</v>
      </c>
      <c r="E707" s="11" t="s">
        <v>1186</v>
      </c>
      <c r="F707" s="52" t="s">
        <v>444</v>
      </c>
      <c r="G707" s="61"/>
      <c r="I707" t="s">
        <v>410</v>
      </c>
      <c r="J707" s="10">
        <v>19851</v>
      </c>
      <c r="K707" s="10">
        <v>38164</v>
      </c>
      <c r="L707" s="61" t="s">
        <v>71</v>
      </c>
      <c r="M707" t="s">
        <v>40</v>
      </c>
      <c r="N707" s="107" t="str">
        <f>IF(_xlfn.NUMBERVALUE(DATEDIF(J707,K707,"Y"))-Table1[[#This Row],[Κατηγορία]]&lt;0,"* Check Age *","")</f>
        <v/>
      </c>
    </row>
    <row r="708" spans="1:14" ht="18" hidden="1" customHeight="1" x14ac:dyDescent="0.2">
      <c r="A708" s="9" t="s">
        <v>1155</v>
      </c>
      <c r="B708" s="9" t="s">
        <v>296</v>
      </c>
      <c r="C708" s="12" t="s">
        <v>1260</v>
      </c>
      <c r="D708" s="9" t="s">
        <v>1243</v>
      </c>
      <c r="E708" s="11" t="s">
        <v>1186</v>
      </c>
      <c r="F708" s="52" t="s">
        <v>445</v>
      </c>
      <c r="G708" s="61"/>
      <c r="I708" t="s">
        <v>410</v>
      </c>
      <c r="J708" s="10">
        <v>19851</v>
      </c>
      <c r="K708" s="10">
        <v>40375</v>
      </c>
      <c r="L708" s="61" t="s">
        <v>89</v>
      </c>
      <c r="M708" s="61" t="s">
        <v>85</v>
      </c>
      <c r="N708" s="107" t="str">
        <f>IF(_xlfn.NUMBERVALUE(DATEDIF(J708,K708,"Y"))-Table1[[#This Row],[Κατηγορία]]&lt;0,"* Check Age *","")</f>
        <v/>
      </c>
    </row>
    <row r="709" spans="1:14" ht="18" hidden="1" customHeight="1" x14ac:dyDescent="0.2">
      <c r="A709" s="9" t="s">
        <v>1155</v>
      </c>
      <c r="B709" s="9" t="s">
        <v>296</v>
      </c>
      <c r="C709" s="12" t="s">
        <v>1261</v>
      </c>
      <c r="D709" s="9" t="s">
        <v>1245</v>
      </c>
      <c r="E709" s="11" t="s">
        <v>1186</v>
      </c>
      <c r="F709" s="52" t="s">
        <v>446</v>
      </c>
      <c r="G709" s="61"/>
      <c r="I709" t="s">
        <v>410</v>
      </c>
      <c r="J709" s="10">
        <v>19851</v>
      </c>
      <c r="K709" s="10">
        <v>41818</v>
      </c>
      <c r="L709" s="61" t="s">
        <v>86</v>
      </c>
      <c r="M709" s="61" t="s">
        <v>490</v>
      </c>
      <c r="N709" s="107" t="str">
        <f>IF(_xlfn.NUMBERVALUE(DATEDIF(J709,K709,"Y"))-Table1[[#This Row],[Κατηγορία]]&lt;0,"* Check Age *","")</f>
        <v/>
      </c>
    </row>
    <row r="710" spans="1:14" ht="18" hidden="1" customHeight="1" x14ac:dyDescent="0.2">
      <c r="A710" s="9" t="s">
        <v>1155</v>
      </c>
      <c r="B710" s="9" t="s">
        <v>296</v>
      </c>
      <c r="C710" s="12" t="s">
        <v>1262</v>
      </c>
      <c r="D710" s="9" t="s">
        <v>1245</v>
      </c>
      <c r="E710" s="11" t="s">
        <v>1186</v>
      </c>
      <c r="F710" s="52" t="s">
        <v>447</v>
      </c>
      <c r="G710" s="61"/>
      <c r="I710" t="s">
        <v>410</v>
      </c>
      <c r="J710" s="10">
        <v>19851</v>
      </c>
      <c r="K710" s="10">
        <v>43646</v>
      </c>
      <c r="L710" s="61" t="s">
        <v>44</v>
      </c>
      <c r="M710" s="61" t="s">
        <v>300</v>
      </c>
      <c r="N710" s="107" t="str">
        <f>IF(_xlfn.NUMBERVALUE(DATEDIF(J710,K710,"Y"))-Table1[[#This Row],[Κατηγορία]]&lt;0,"* Check Age *","")</f>
        <v/>
      </c>
    </row>
    <row r="711" spans="1:14" ht="18" hidden="1" customHeight="1" x14ac:dyDescent="0.2">
      <c r="A711" s="9" t="s">
        <v>1155</v>
      </c>
      <c r="B711" s="9" t="s">
        <v>296</v>
      </c>
      <c r="C711" s="12" t="s">
        <v>1263</v>
      </c>
      <c r="D711" s="9" t="s">
        <v>1246</v>
      </c>
      <c r="E711" s="11" t="s">
        <v>1186</v>
      </c>
      <c r="F711" s="52" t="s">
        <v>1076</v>
      </c>
      <c r="G711" s="61"/>
      <c r="I711" t="s">
        <v>410</v>
      </c>
      <c r="J711" s="10">
        <v>19851</v>
      </c>
      <c r="K711" s="10">
        <v>45478</v>
      </c>
      <c r="L711" s="61" t="s">
        <v>1009</v>
      </c>
      <c r="M711" t="s">
        <v>40</v>
      </c>
      <c r="N711" s="107" t="str">
        <f>IF(_xlfn.NUMBERVALUE(DATEDIF(J711,K711,"Y"))-Table1[[#This Row],[Κατηγορία]]&lt;0,"* Check Age *","")</f>
        <v/>
      </c>
    </row>
    <row r="712" spans="1:14" ht="18" hidden="1" customHeight="1" x14ac:dyDescent="0.2">
      <c r="A712" s="9" t="s">
        <v>1155</v>
      </c>
      <c r="B712" s="9" t="s">
        <v>296</v>
      </c>
      <c r="C712" s="12" t="s">
        <v>1264</v>
      </c>
      <c r="D712" s="9" t="s">
        <v>1246</v>
      </c>
      <c r="E712" s="11" t="s">
        <v>1186</v>
      </c>
      <c r="F712" s="52" t="s">
        <v>448</v>
      </c>
      <c r="G712" s="61"/>
      <c r="I712" t="s">
        <v>435</v>
      </c>
      <c r="J712" s="10">
        <v>15193</v>
      </c>
      <c r="K712" s="11">
        <v>2017</v>
      </c>
      <c r="L712" s="61" t="s">
        <v>60</v>
      </c>
      <c r="M712" t="s">
        <v>40</v>
      </c>
      <c r="N712" s="107"/>
    </row>
    <row r="713" spans="1:14" ht="18" hidden="1" customHeight="1" x14ac:dyDescent="0.2">
      <c r="A713" s="9" t="s">
        <v>1155</v>
      </c>
      <c r="B713" s="9" t="s">
        <v>296</v>
      </c>
      <c r="C713" s="12" t="s">
        <v>1265</v>
      </c>
      <c r="D713" s="9" t="s">
        <v>1247</v>
      </c>
      <c r="E713" s="11" t="s">
        <v>1186</v>
      </c>
      <c r="F713" s="52" t="s">
        <v>449</v>
      </c>
      <c r="G713" s="61"/>
      <c r="I713" s="61" t="s">
        <v>234</v>
      </c>
      <c r="J713" s="10">
        <v>12411</v>
      </c>
      <c r="K713" s="11">
        <v>2013</v>
      </c>
      <c r="L713" s="61" t="s">
        <v>145</v>
      </c>
      <c r="M713" s="61"/>
      <c r="N713" s="107"/>
    </row>
    <row r="714" spans="1:14" ht="18" hidden="1" customHeight="1" x14ac:dyDescent="0.2">
      <c r="A714" s="9" t="s">
        <v>1155</v>
      </c>
      <c r="B714" s="9" t="s">
        <v>296</v>
      </c>
      <c r="C714" s="12" t="s">
        <v>1266</v>
      </c>
      <c r="D714" s="9" t="s">
        <v>1247</v>
      </c>
      <c r="E714" s="11" t="s">
        <v>1186</v>
      </c>
      <c r="F714" s="52" t="s">
        <v>450</v>
      </c>
      <c r="G714" s="61"/>
      <c r="I714" t="s">
        <v>411</v>
      </c>
      <c r="J714" s="11">
        <v>1915</v>
      </c>
      <c r="K714" s="11">
        <v>1999</v>
      </c>
      <c r="L714" s="61" t="s">
        <v>57</v>
      </c>
      <c r="M714" t="s">
        <v>15</v>
      </c>
      <c r="N714" s="107"/>
    </row>
    <row r="715" spans="1:14" ht="18" hidden="1" customHeight="1" x14ac:dyDescent="0.2">
      <c r="A715" s="9" t="s">
        <v>1155</v>
      </c>
      <c r="B715" s="9" t="s">
        <v>296</v>
      </c>
      <c r="C715" s="12" t="s">
        <v>1267</v>
      </c>
      <c r="D715" s="9"/>
      <c r="E715" s="11" t="s">
        <v>1186</v>
      </c>
      <c r="F715" s="52" t="s">
        <v>1228</v>
      </c>
      <c r="G715" s="61"/>
      <c r="I715" s="61" t="s">
        <v>234</v>
      </c>
      <c r="J715" s="10">
        <v>12411</v>
      </c>
      <c r="K715" s="10">
        <v>45780</v>
      </c>
      <c r="L715" t="s">
        <v>1223</v>
      </c>
      <c r="M715" t="s">
        <v>40</v>
      </c>
      <c r="N715" s="107" t="str">
        <f>IF(_xlfn.NUMBERVALUE(DATEDIF(J715,K715,"Y"))-Table1[[#This Row],[Κατηγορία]]&lt;0,"* Check Age *","")</f>
        <v/>
      </c>
    </row>
    <row r="716" spans="1:14" ht="18" hidden="1" customHeight="1" x14ac:dyDescent="0.2">
      <c r="A716" s="9" t="s">
        <v>1202</v>
      </c>
      <c r="B716" t="s">
        <v>296</v>
      </c>
      <c r="C716" s="23" t="s">
        <v>1256</v>
      </c>
      <c r="D716" t="s">
        <v>1246</v>
      </c>
      <c r="E716" s="11" t="s">
        <v>1186</v>
      </c>
      <c r="F716" s="57" t="s">
        <v>692</v>
      </c>
      <c r="G716" s="4"/>
      <c r="H716" s="58"/>
      <c r="I716" s="1" t="s">
        <v>693</v>
      </c>
      <c r="J716" s="15">
        <v>24913</v>
      </c>
      <c r="K716" s="15">
        <v>37744</v>
      </c>
      <c r="L716" s="4" t="s">
        <v>44</v>
      </c>
      <c r="M716" s="1"/>
      <c r="N716" s="107" t="str">
        <f>IF(_xlfn.NUMBERVALUE(DATEDIF(J716,K716,"Y"))-Table1[[#This Row],[Κατηγορία]]&lt;0,"* Check Age *","")</f>
        <v/>
      </c>
    </row>
    <row r="717" spans="1:14" ht="18" hidden="1" customHeight="1" x14ac:dyDescent="0.2">
      <c r="A717" s="9" t="s">
        <v>1202</v>
      </c>
      <c r="B717" t="s">
        <v>296</v>
      </c>
      <c r="C717" s="23" t="s">
        <v>1257</v>
      </c>
      <c r="D717" t="s">
        <v>1246</v>
      </c>
      <c r="E717" s="11" t="s">
        <v>1186</v>
      </c>
      <c r="F717" s="57" t="s">
        <v>690</v>
      </c>
      <c r="G717" s="1"/>
      <c r="H717" s="58"/>
      <c r="I717" s="1" t="s">
        <v>691</v>
      </c>
      <c r="J717" s="15">
        <v>28254</v>
      </c>
      <c r="K717" s="15">
        <v>42917</v>
      </c>
      <c r="L717" s="1" t="s">
        <v>60</v>
      </c>
      <c r="M717" s="1" t="s">
        <v>40</v>
      </c>
      <c r="N717" s="107" t="str">
        <f>IF(_xlfn.NUMBERVALUE(DATEDIF(J717,K717,"Y"))-Table1[[#This Row],[Κατηγορία]]&lt;0,"* Check Age *","")</f>
        <v/>
      </c>
    </row>
    <row r="718" spans="1:14" ht="18" hidden="1" customHeight="1" x14ac:dyDescent="0.2">
      <c r="A718" s="9" t="s">
        <v>1202</v>
      </c>
      <c r="B718" t="s">
        <v>296</v>
      </c>
      <c r="C718" s="23" t="s">
        <v>1258</v>
      </c>
      <c r="D718" t="s">
        <v>1246</v>
      </c>
      <c r="E718" s="11" t="s">
        <v>1186</v>
      </c>
      <c r="F718" s="57" t="s">
        <v>877</v>
      </c>
      <c r="G718" s="1"/>
      <c r="H718" s="58"/>
      <c r="I718" s="1" t="s">
        <v>691</v>
      </c>
      <c r="J718" s="15">
        <v>28254</v>
      </c>
      <c r="K718" s="15">
        <v>44827</v>
      </c>
      <c r="L718" s="1" t="s">
        <v>95</v>
      </c>
      <c r="M718" s="1" t="s">
        <v>15</v>
      </c>
      <c r="N718" s="107" t="str">
        <f>IF(_xlfn.NUMBERVALUE(DATEDIF(J718,K718,"Y"))-Table1[[#This Row],[Κατηγορία]]&lt;0,"* Check Age *","")</f>
        <v/>
      </c>
    </row>
    <row r="719" spans="1:14" ht="18" hidden="1" customHeight="1" x14ac:dyDescent="0.2">
      <c r="A719" s="9" t="s">
        <v>1202</v>
      </c>
      <c r="B719" t="s">
        <v>296</v>
      </c>
      <c r="C719" s="23" t="s">
        <v>1259</v>
      </c>
      <c r="D719" t="s">
        <v>1247</v>
      </c>
      <c r="E719" s="11" t="s">
        <v>1186</v>
      </c>
      <c r="F719" s="57" t="s">
        <v>297</v>
      </c>
      <c r="G719" s="1"/>
      <c r="H719" s="58"/>
      <c r="I719" s="1" t="s">
        <v>292</v>
      </c>
      <c r="J719" s="15">
        <v>24310</v>
      </c>
      <c r="K719" s="15">
        <v>43407</v>
      </c>
      <c r="L719" s="1" t="s">
        <v>27</v>
      </c>
      <c r="M719" s="1" t="s">
        <v>177</v>
      </c>
      <c r="N719" s="107" t="str">
        <f>IF(_xlfn.NUMBERVALUE(DATEDIF(J719,K719,"Y"))-Table1[[#This Row],[Κατηγορία]]&lt;0,"* Check Age *","")</f>
        <v/>
      </c>
    </row>
    <row r="720" spans="1:14" ht="18" hidden="1" customHeight="1" x14ac:dyDescent="0.2">
      <c r="A720" s="9" t="s">
        <v>1202</v>
      </c>
      <c r="B720" t="s">
        <v>296</v>
      </c>
      <c r="C720" s="23" t="s">
        <v>1260</v>
      </c>
      <c r="D720" t="s">
        <v>1247</v>
      </c>
      <c r="E720" s="11" t="s">
        <v>1186</v>
      </c>
      <c r="F720" s="57" t="s">
        <v>935</v>
      </c>
      <c r="G720" s="1"/>
      <c r="H720" s="58"/>
      <c r="I720" s="1" t="s">
        <v>292</v>
      </c>
      <c r="J720" s="15">
        <v>24310</v>
      </c>
      <c r="K720" s="13">
        <v>45016</v>
      </c>
      <c r="L720" t="s">
        <v>936</v>
      </c>
      <c r="M720" t="s">
        <v>85</v>
      </c>
      <c r="N720" s="107" t="str">
        <f>IF(_xlfn.NUMBERVALUE(DATEDIF(J720,K720,"Y"))-Table1[[#This Row],[Κατηγορία]]&lt;0,"* Check Age *","")</f>
        <v/>
      </c>
    </row>
    <row r="721" spans="1:14" ht="18" hidden="1" customHeight="1" x14ac:dyDescent="0.2">
      <c r="A721" s="9" t="s">
        <v>1202</v>
      </c>
      <c r="B721" t="s">
        <v>296</v>
      </c>
      <c r="C721" s="23" t="s">
        <v>1261</v>
      </c>
      <c r="D721" t="s">
        <v>1247</v>
      </c>
      <c r="E721" s="11" t="s">
        <v>1186</v>
      </c>
      <c r="F721" s="57" t="s">
        <v>1085</v>
      </c>
      <c r="G721" s="1"/>
      <c r="H721" s="58"/>
      <c r="I721" s="1" t="s">
        <v>1086</v>
      </c>
      <c r="J721" s="15">
        <v>23473</v>
      </c>
      <c r="K721" s="15">
        <v>45478</v>
      </c>
      <c r="L721" s="1" t="s">
        <v>1009</v>
      </c>
      <c r="M721" s="1" t="s">
        <v>40</v>
      </c>
      <c r="N721" s="107" t="str">
        <f>IF(_xlfn.NUMBERVALUE(DATEDIF(J721,K721,"Y"))-Table1[[#This Row],[Κατηγορία]]&lt;0,"* Check Age *","")</f>
        <v/>
      </c>
    </row>
    <row r="722" spans="1:14" ht="18" hidden="1" customHeight="1" x14ac:dyDescent="0.2">
      <c r="A722" s="9" t="s">
        <v>1202</v>
      </c>
      <c r="B722" t="s">
        <v>296</v>
      </c>
      <c r="C722" s="23" t="s">
        <v>1262</v>
      </c>
      <c r="D722" t="s">
        <v>1247</v>
      </c>
      <c r="E722" s="11" t="s">
        <v>1186</v>
      </c>
      <c r="F722" s="57" t="s">
        <v>750</v>
      </c>
      <c r="G722" s="1"/>
      <c r="H722" s="58"/>
      <c r="I722" s="1" t="s">
        <v>1434</v>
      </c>
      <c r="J722" s="15">
        <v>18954</v>
      </c>
      <c r="K722" s="15">
        <v>43898</v>
      </c>
      <c r="L722" s="1" t="s">
        <v>751</v>
      </c>
      <c r="M722" s="1" t="s">
        <v>15</v>
      </c>
      <c r="N722" s="107" t="str">
        <f>IF(_xlfn.NUMBERVALUE(DATEDIF(J722,K722,"Y"))-Table1[[#This Row],[Κατηγορία]]&lt;0,"* Check Age *","")</f>
        <v/>
      </c>
    </row>
    <row r="723" spans="1:14" ht="18" hidden="1" customHeight="1" x14ac:dyDescent="0.2">
      <c r="A723" s="9" t="s">
        <v>1202</v>
      </c>
      <c r="B723" t="s">
        <v>296</v>
      </c>
      <c r="C723" s="23" t="s">
        <v>1263</v>
      </c>
      <c r="D723" t="s">
        <v>1247</v>
      </c>
      <c r="E723" s="11" t="s">
        <v>1186</v>
      </c>
      <c r="F723" s="57" t="s">
        <v>1417</v>
      </c>
      <c r="G723" s="1"/>
      <c r="H723" s="58"/>
      <c r="I723" s="1" t="s">
        <v>1434</v>
      </c>
      <c r="J723" s="15">
        <v>18954</v>
      </c>
      <c r="K723" s="15">
        <v>45944</v>
      </c>
      <c r="L723" s="1" t="s">
        <v>1413</v>
      </c>
      <c r="M723" s="1" t="s">
        <v>79</v>
      </c>
      <c r="N723" s="107"/>
    </row>
    <row r="724" spans="1:14" ht="18" hidden="1" customHeight="1" x14ac:dyDescent="0.2">
      <c r="A724" s="9" t="s">
        <v>1155</v>
      </c>
      <c r="B724" s="9" t="s">
        <v>309</v>
      </c>
      <c r="C724" s="12" t="s">
        <v>1256</v>
      </c>
      <c r="D724" s="9"/>
      <c r="E724" s="11" t="s">
        <v>1186</v>
      </c>
      <c r="F724" s="52" t="s">
        <v>221</v>
      </c>
      <c r="H724" s="11" t="s">
        <v>311</v>
      </c>
      <c r="I724" t="s">
        <v>310</v>
      </c>
      <c r="J724" s="10">
        <v>29963</v>
      </c>
      <c r="K724" s="10">
        <v>42882</v>
      </c>
      <c r="L724" t="s">
        <v>67</v>
      </c>
      <c r="M724" t="s">
        <v>97</v>
      </c>
      <c r="N724" s="107" t="str">
        <f>IF(_xlfn.NUMBERVALUE(DATEDIF(J724,K724,"Y"))-Table1[[#This Row],[Κατηγορία]]&lt;0,"* Check Age *","")</f>
        <v/>
      </c>
    </row>
    <row r="725" spans="1:14" ht="18" hidden="1" customHeight="1" x14ac:dyDescent="0.2">
      <c r="A725" s="9" t="s">
        <v>1155</v>
      </c>
      <c r="B725" s="9" t="s">
        <v>309</v>
      </c>
      <c r="C725" s="12" t="s">
        <v>1257</v>
      </c>
      <c r="D725" s="9"/>
      <c r="E725" s="11" t="s">
        <v>1186</v>
      </c>
      <c r="F725" s="52" t="s">
        <v>214</v>
      </c>
      <c r="H725" s="11" t="s">
        <v>827</v>
      </c>
      <c r="I725" t="s">
        <v>310</v>
      </c>
      <c r="J725" s="10">
        <v>29963</v>
      </c>
      <c r="K725" s="10">
        <v>44737</v>
      </c>
      <c r="L725" t="s">
        <v>95</v>
      </c>
      <c r="M725" t="s">
        <v>155</v>
      </c>
      <c r="N725" s="107" t="str">
        <f>IF(_xlfn.NUMBERVALUE(DATEDIF(J725,K725,"Y"))-Table1[[#This Row],[Κατηγορία]]&lt;0,"* Check Age *","")</f>
        <v/>
      </c>
    </row>
    <row r="726" spans="1:14" ht="18" hidden="1" customHeight="1" x14ac:dyDescent="0.2">
      <c r="A726" s="9" t="s">
        <v>1155</v>
      </c>
      <c r="B726" s="9" t="s">
        <v>309</v>
      </c>
      <c r="C726" s="12" t="s">
        <v>1258</v>
      </c>
      <c r="D726" s="9"/>
      <c r="E726" s="11" t="s">
        <v>1186</v>
      </c>
      <c r="F726" s="52" t="s">
        <v>399</v>
      </c>
      <c r="I726" t="s">
        <v>401</v>
      </c>
      <c r="J726" s="10">
        <v>24407</v>
      </c>
      <c r="K726" s="10">
        <v>41140</v>
      </c>
      <c r="L726" t="s">
        <v>402</v>
      </c>
      <c r="M726" t="s">
        <v>79</v>
      </c>
      <c r="N726" s="107" t="str">
        <f>IF(_xlfn.NUMBERVALUE(DATEDIF(J726,K726,"Y"))-Table1[[#This Row],[Κατηγορία]]&lt;0,"* Check Age *","")</f>
        <v/>
      </c>
    </row>
    <row r="727" spans="1:14" ht="18" hidden="1" customHeight="1" x14ac:dyDescent="0.2">
      <c r="A727" s="9" t="s">
        <v>1155</v>
      </c>
      <c r="B727" s="9" t="s">
        <v>309</v>
      </c>
      <c r="C727" s="12" t="s">
        <v>1259</v>
      </c>
      <c r="D727" s="9"/>
      <c r="E727" s="11" t="s">
        <v>1186</v>
      </c>
      <c r="F727" s="52" t="s">
        <v>400</v>
      </c>
      <c r="I727" t="s">
        <v>401</v>
      </c>
      <c r="J727" s="10">
        <v>24407</v>
      </c>
      <c r="K727" s="10">
        <v>42917</v>
      </c>
      <c r="L727" t="s">
        <v>60</v>
      </c>
      <c r="M727" t="s">
        <v>40</v>
      </c>
      <c r="N727" s="107" t="str">
        <f>IF(_xlfn.NUMBERVALUE(DATEDIF(J727,K727,"Y"))-Table1[[#This Row],[Κατηγορία]]&lt;0,"* Check Age *","")</f>
        <v/>
      </c>
    </row>
    <row r="728" spans="1:14" ht="18" hidden="1" customHeight="1" x14ac:dyDescent="0.2">
      <c r="A728" s="9" t="s">
        <v>1155</v>
      </c>
      <c r="B728" s="9" t="s">
        <v>309</v>
      </c>
      <c r="C728" s="12" t="s">
        <v>1260</v>
      </c>
      <c r="D728" s="9"/>
      <c r="E728" s="11" t="s">
        <v>1186</v>
      </c>
      <c r="F728" s="52" t="s">
        <v>1043</v>
      </c>
      <c r="H728" s="11" t="s">
        <v>811</v>
      </c>
      <c r="I728" t="s">
        <v>401</v>
      </c>
      <c r="J728" s="10">
        <v>24407</v>
      </c>
      <c r="K728" s="10">
        <v>45115</v>
      </c>
      <c r="L728" t="s">
        <v>23</v>
      </c>
      <c r="M728" t="s">
        <v>40</v>
      </c>
      <c r="N728" s="107" t="str">
        <f>IF(_xlfn.NUMBERVALUE(DATEDIF(J728,K728,"Y"))-Table1[[#This Row],[Κατηγορία]]&lt;0,"* Check Age *","")</f>
        <v/>
      </c>
    </row>
    <row r="729" spans="1:14" ht="18" hidden="1" customHeight="1" x14ac:dyDescent="0.2">
      <c r="A729" s="9" t="s">
        <v>1155</v>
      </c>
      <c r="B729" s="9" t="s">
        <v>309</v>
      </c>
      <c r="C729" s="12" t="s">
        <v>1261</v>
      </c>
      <c r="D729" s="9"/>
      <c r="E729" s="11" t="s">
        <v>1186</v>
      </c>
      <c r="F729" s="52" t="s">
        <v>748</v>
      </c>
      <c r="I729" t="s">
        <v>749</v>
      </c>
      <c r="J729" s="10">
        <v>20753</v>
      </c>
      <c r="K729" s="10">
        <v>44037</v>
      </c>
      <c r="L729" t="s">
        <v>746</v>
      </c>
      <c r="M729" t="s">
        <v>50</v>
      </c>
      <c r="N729" s="107" t="str">
        <f>IF(_xlfn.NUMBERVALUE(DATEDIF(J729,K729,"Y"))-Table1[[#This Row],[Κατηγορία]]&lt;0,"* Check Age *","")</f>
        <v/>
      </c>
    </row>
    <row r="730" spans="1:14" ht="18" hidden="1" customHeight="1" x14ac:dyDescent="0.2">
      <c r="A730" s="9" t="s">
        <v>1155</v>
      </c>
      <c r="B730" s="9" t="s">
        <v>309</v>
      </c>
      <c r="C730" s="12" t="s">
        <v>1262</v>
      </c>
      <c r="D730" s="9"/>
      <c r="E730" s="11" t="s">
        <v>1186</v>
      </c>
      <c r="F730" s="52" t="s">
        <v>906</v>
      </c>
      <c r="H730" s="11" t="s">
        <v>907</v>
      </c>
      <c r="I730" t="s">
        <v>749</v>
      </c>
      <c r="J730" s="10">
        <v>20753</v>
      </c>
      <c r="K730" s="10">
        <v>44829</v>
      </c>
      <c r="L730" t="s">
        <v>95</v>
      </c>
      <c r="M730" t="s">
        <v>15</v>
      </c>
      <c r="N730" s="107" t="str">
        <f>IF(_xlfn.NUMBERVALUE(DATEDIF(J730,K730,"Y"))-Table1[[#This Row],[Κατηγορία]]&lt;0,"* Check Age *","")</f>
        <v/>
      </c>
    </row>
    <row r="731" spans="1:14" ht="18" hidden="1" customHeight="1" x14ac:dyDescent="0.2">
      <c r="A731" s="9" t="s">
        <v>1155</v>
      </c>
      <c r="B731" s="9" t="s">
        <v>309</v>
      </c>
      <c r="C731" s="12" t="s">
        <v>1263</v>
      </c>
      <c r="D731" s="9"/>
      <c r="E731" s="11" t="s">
        <v>1186</v>
      </c>
      <c r="F731" s="52" t="s">
        <v>1037</v>
      </c>
      <c r="H731" s="11" t="s">
        <v>835</v>
      </c>
      <c r="I731" t="s">
        <v>797</v>
      </c>
      <c r="J731" s="10">
        <v>18916</v>
      </c>
      <c r="K731" s="10">
        <v>45409</v>
      </c>
      <c r="L731" s="61" t="s">
        <v>952</v>
      </c>
      <c r="M731" s="1" t="s">
        <v>308</v>
      </c>
      <c r="N731" s="107" t="str">
        <f>IF(_xlfn.NUMBERVALUE(DATEDIF(J731,K731,"Y"))-Table1[[#This Row],[Κατηγορία]]&lt;0,"* Check Age *","")</f>
        <v/>
      </c>
    </row>
    <row r="732" spans="1:14" ht="18" hidden="1" customHeight="1" x14ac:dyDescent="0.2">
      <c r="A732" s="9" t="s">
        <v>1155</v>
      </c>
      <c r="B732" s="9" t="s">
        <v>309</v>
      </c>
      <c r="C732" s="12" t="s">
        <v>1264</v>
      </c>
      <c r="D732" s="9"/>
      <c r="E732" s="11" t="s">
        <v>1186</v>
      </c>
      <c r="F732" s="52" t="s">
        <v>405</v>
      </c>
      <c r="I732" t="s">
        <v>404</v>
      </c>
      <c r="J732" s="10">
        <v>13957</v>
      </c>
      <c r="K732" s="11">
        <v>2014</v>
      </c>
      <c r="L732" t="s">
        <v>60</v>
      </c>
      <c r="M732" t="s">
        <v>40</v>
      </c>
      <c r="N732" s="107"/>
    </row>
    <row r="733" spans="1:14" ht="18" hidden="1" customHeight="1" x14ac:dyDescent="0.2">
      <c r="A733" s="9" t="s">
        <v>1155</v>
      </c>
      <c r="B733" s="9" t="s">
        <v>309</v>
      </c>
      <c r="C733" s="12" t="s">
        <v>1265</v>
      </c>
      <c r="D733" s="9"/>
      <c r="E733" s="11" t="s">
        <v>1186</v>
      </c>
      <c r="F733" s="52" t="s">
        <v>406</v>
      </c>
      <c r="I733" s="61" t="s">
        <v>234</v>
      </c>
      <c r="J733" s="10">
        <v>12411</v>
      </c>
      <c r="K733" s="10">
        <v>41879</v>
      </c>
      <c r="L733" s="61" t="s">
        <v>57</v>
      </c>
      <c r="M733" s="61" t="s">
        <v>79</v>
      </c>
      <c r="N733" s="107" t="str">
        <f>IF(_xlfn.NUMBERVALUE(DATEDIF(J733,K733,"Y"))-Table1[[#This Row],[Κατηγορία]]&lt;0,"* Check Age *","")</f>
        <v/>
      </c>
    </row>
    <row r="734" spans="1:14" ht="18" hidden="1" customHeight="1" x14ac:dyDescent="0.2">
      <c r="A734" s="9" t="s">
        <v>1155</v>
      </c>
      <c r="B734" s="9" t="s">
        <v>309</v>
      </c>
      <c r="C734" s="12" t="s">
        <v>1266</v>
      </c>
      <c r="D734" s="9"/>
      <c r="E734" s="11" t="s">
        <v>1186</v>
      </c>
      <c r="F734" s="52" t="s">
        <v>973</v>
      </c>
      <c r="H734" s="11" t="s">
        <v>811</v>
      </c>
      <c r="I734" t="s">
        <v>212</v>
      </c>
      <c r="J734" s="10">
        <v>13492</v>
      </c>
      <c r="K734" s="54">
        <v>45172</v>
      </c>
      <c r="L734" t="s">
        <v>57</v>
      </c>
      <c r="M734" t="s">
        <v>15</v>
      </c>
      <c r="N734" s="107" t="str">
        <f>IF(_xlfn.NUMBERVALUE(DATEDIF(J734,K734,"Y"))-Table1[[#This Row],[Κατηγορία]]&lt;0,"* Check Age *","")</f>
        <v/>
      </c>
    </row>
    <row r="735" spans="1:14" ht="18" hidden="1" customHeight="1" x14ac:dyDescent="0.2">
      <c r="A735" s="9" t="s">
        <v>1202</v>
      </c>
      <c r="B735" t="s">
        <v>309</v>
      </c>
      <c r="C735" s="23" t="s">
        <v>1256</v>
      </c>
      <c r="E735" s="11" t="s">
        <v>1186</v>
      </c>
      <c r="F735" s="57" t="s">
        <v>668</v>
      </c>
      <c r="G735" s="1"/>
      <c r="H735" s="58"/>
      <c r="I735" s="1" t="s">
        <v>667</v>
      </c>
      <c r="J735" s="23">
        <v>1960</v>
      </c>
      <c r="K735" s="23">
        <v>1997</v>
      </c>
      <c r="L735" s="1" t="s">
        <v>44</v>
      </c>
      <c r="M735" s="1"/>
      <c r="N735" s="107"/>
    </row>
    <row r="736" spans="1:14" ht="18" hidden="1" customHeight="1" x14ac:dyDescent="0.2">
      <c r="A736" s="9" t="s">
        <v>1202</v>
      </c>
      <c r="B736" t="s">
        <v>309</v>
      </c>
      <c r="C736" s="23" t="s">
        <v>1257</v>
      </c>
      <c r="E736" s="11" t="s">
        <v>1186</v>
      </c>
      <c r="F736" s="57" t="s">
        <v>669</v>
      </c>
      <c r="G736" s="1"/>
      <c r="H736" s="58"/>
      <c r="I736" s="1" t="s">
        <v>667</v>
      </c>
      <c r="J736" s="23">
        <v>1960</v>
      </c>
      <c r="K736" s="23">
        <v>2000</v>
      </c>
      <c r="L736" s="1" t="s">
        <v>670</v>
      </c>
      <c r="M736" s="1"/>
      <c r="N736" s="107"/>
    </row>
    <row r="737" spans="1:14" ht="18" hidden="1" customHeight="1" x14ac:dyDescent="0.2">
      <c r="A737" s="9" t="s">
        <v>1202</v>
      </c>
      <c r="B737" t="s">
        <v>309</v>
      </c>
      <c r="C737" s="23" t="s">
        <v>1258</v>
      </c>
      <c r="E737" s="11" t="s">
        <v>1186</v>
      </c>
      <c r="F737" s="57" t="s">
        <v>833</v>
      </c>
      <c r="G737" s="1"/>
      <c r="H737" s="58"/>
      <c r="I737" s="1" t="s">
        <v>609</v>
      </c>
      <c r="J737" s="15">
        <v>27803</v>
      </c>
      <c r="K737" s="15">
        <v>44750</v>
      </c>
      <c r="L737" s="1" t="s">
        <v>829</v>
      </c>
      <c r="M737" s="1" t="s">
        <v>85</v>
      </c>
      <c r="N737" s="107" t="str">
        <f>IF(_xlfn.NUMBERVALUE(DATEDIF(J737,K737,"Y"))-Table1[[#This Row],[Κατηγορία]]&lt;0,"* Check Age *","")</f>
        <v/>
      </c>
    </row>
    <row r="738" spans="1:14" ht="18" hidden="1" customHeight="1" x14ac:dyDescent="0.2">
      <c r="A738" s="9" t="s">
        <v>1202</v>
      </c>
      <c r="B738" t="s">
        <v>309</v>
      </c>
      <c r="C738" s="23" t="s">
        <v>1259</v>
      </c>
      <c r="E738" s="11" t="s">
        <v>1186</v>
      </c>
      <c r="F738" s="57" t="s">
        <v>671</v>
      </c>
      <c r="G738" s="1"/>
      <c r="H738" s="58"/>
      <c r="I738" s="1" t="s">
        <v>673</v>
      </c>
      <c r="J738" s="23">
        <v>1944</v>
      </c>
      <c r="K738" s="23">
        <v>1994</v>
      </c>
      <c r="L738" s="1" t="s">
        <v>44</v>
      </c>
      <c r="M738" s="1"/>
      <c r="N738" s="107"/>
    </row>
    <row r="739" spans="1:14" ht="18" hidden="1" customHeight="1" x14ac:dyDescent="0.2">
      <c r="A739" s="9" t="s">
        <v>1202</v>
      </c>
      <c r="B739" t="s">
        <v>309</v>
      </c>
      <c r="C739" s="23" t="s">
        <v>1260</v>
      </c>
      <c r="E739" s="11" t="s">
        <v>1186</v>
      </c>
      <c r="F739" s="57" t="s">
        <v>672</v>
      </c>
      <c r="G739" s="1"/>
      <c r="H739" s="58"/>
      <c r="I739" s="1" t="s">
        <v>543</v>
      </c>
      <c r="J739" s="15">
        <v>16444</v>
      </c>
      <c r="K739" s="23">
        <v>2003</v>
      </c>
      <c r="L739" s="1" t="s">
        <v>674</v>
      </c>
      <c r="M739" s="1"/>
      <c r="N739" s="107"/>
    </row>
    <row r="740" spans="1:14" ht="18" hidden="1" customHeight="1" x14ac:dyDescent="0.2">
      <c r="A740" s="9" t="s">
        <v>1155</v>
      </c>
      <c r="B740" s="9" t="s">
        <v>1176</v>
      </c>
      <c r="C740" s="12" t="s">
        <v>1256</v>
      </c>
      <c r="D740" s="9"/>
      <c r="E740" s="11" t="s">
        <v>1186</v>
      </c>
      <c r="F740" s="52" t="s">
        <v>380</v>
      </c>
      <c r="I740" t="s">
        <v>379</v>
      </c>
      <c r="J740" s="11">
        <v>1956</v>
      </c>
      <c r="K740" s="11">
        <v>1991</v>
      </c>
      <c r="L740" t="s">
        <v>44</v>
      </c>
      <c r="N740" s="107"/>
    </row>
    <row r="741" spans="1:14" ht="18" hidden="1" customHeight="1" x14ac:dyDescent="0.2">
      <c r="A741" s="9" t="s">
        <v>1155</v>
      </c>
      <c r="B741" s="9" t="s">
        <v>1176</v>
      </c>
      <c r="C741" s="12" t="s">
        <v>1257</v>
      </c>
      <c r="D741" s="9"/>
      <c r="E741" s="11" t="s">
        <v>1186</v>
      </c>
      <c r="F741" s="52" t="s">
        <v>381</v>
      </c>
      <c r="I741" t="s">
        <v>379</v>
      </c>
      <c r="J741" s="11">
        <v>1956</v>
      </c>
      <c r="K741" s="11">
        <v>1996</v>
      </c>
      <c r="L741" t="s">
        <v>130</v>
      </c>
      <c r="N741" s="107"/>
    </row>
    <row r="742" spans="1:14" ht="18" hidden="1" customHeight="1" x14ac:dyDescent="0.2">
      <c r="A742" s="9" t="s">
        <v>1155</v>
      </c>
      <c r="B742" s="9" t="s">
        <v>1176</v>
      </c>
      <c r="C742" s="12" t="s">
        <v>1258</v>
      </c>
      <c r="D742" s="9"/>
      <c r="E742" s="11" t="s">
        <v>1186</v>
      </c>
      <c r="F742" s="52" t="s">
        <v>382</v>
      </c>
      <c r="I742" t="s">
        <v>383</v>
      </c>
      <c r="J742" s="11">
        <v>1954</v>
      </c>
      <c r="K742" s="11">
        <v>1999</v>
      </c>
      <c r="L742" t="s">
        <v>95</v>
      </c>
      <c r="N742" s="107"/>
    </row>
    <row r="743" spans="1:14" ht="18" hidden="1" customHeight="1" x14ac:dyDescent="0.2">
      <c r="A743" s="9" t="s">
        <v>1155</v>
      </c>
      <c r="B743" s="9" t="s">
        <v>1176</v>
      </c>
      <c r="C743" s="12" t="s">
        <v>1259</v>
      </c>
      <c r="D743" s="9"/>
      <c r="E743" s="11" t="s">
        <v>1186</v>
      </c>
      <c r="F743" s="52" t="s">
        <v>376</v>
      </c>
      <c r="I743" t="s">
        <v>377</v>
      </c>
      <c r="J743" s="10">
        <v>23808</v>
      </c>
      <c r="K743" s="10">
        <v>42160</v>
      </c>
      <c r="L743" t="s">
        <v>95</v>
      </c>
      <c r="N743" s="107" t="str">
        <f>IF(_xlfn.NUMBERVALUE(DATEDIF(J743,K743,"Y"))-Table1[[#This Row],[Κατηγορία]]&lt;0,"* Check Age *","")</f>
        <v/>
      </c>
    </row>
    <row r="744" spans="1:14" ht="18" hidden="1" customHeight="1" x14ac:dyDescent="0.2">
      <c r="A744" s="9" t="s">
        <v>1155</v>
      </c>
      <c r="B744" s="9" t="s">
        <v>1176</v>
      </c>
      <c r="C744" s="12" t="s">
        <v>1260</v>
      </c>
      <c r="D744" s="9"/>
      <c r="E744" s="11" t="s">
        <v>1186</v>
      </c>
      <c r="F744" s="52" t="s">
        <v>834</v>
      </c>
      <c r="I744" t="s">
        <v>377</v>
      </c>
      <c r="J744" s="10">
        <v>23808</v>
      </c>
      <c r="K744" s="10">
        <v>44745</v>
      </c>
      <c r="L744" t="s">
        <v>829</v>
      </c>
      <c r="M744" t="s">
        <v>85</v>
      </c>
      <c r="N744" s="107" t="str">
        <f>IF(_xlfn.NUMBERVALUE(DATEDIF(J744,K744,"Y"))-Table1[[#This Row],[Κατηγορία]]&lt;0,"* Check Age *","")</f>
        <v/>
      </c>
    </row>
    <row r="745" spans="1:14" ht="18" hidden="1" customHeight="1" x14ac:dyDescent="0.2">
      <c r="A745" s="9" t="s">
        <v>1155</v>
      </c>
      <c r="B745" s="9" t="s">
        <v>1176</v>
      </c>
      <c r="C745" s="12" t="s">
        <v>1261</v>
      </c>
      <c r="D745" s="9"/>
      <c r="E745" s="11" t="s">
        <v>1186</v>
      </c>
      <c r="F745" s="52" t="s">
        <v>1362</v>
      </c>
      <c r="I745" t="s">
        <v>377</v>
      </c>
      <c r="J745" s="10">
        <v>23808</v>
      </c>
      <c r="K745" s="10">
        <v>45843</v>
      </c>
      <c r="L745" t="s">
        <v>1360</v>
      </c>
      <c r="M745" t="s">
        <v>1361</v>
      </c>
      <c r="N745" s="107" t="str">
        <f>IF(_xlfn.NUMBERVALUE(DATEDIF(J745,K745,"Y"))-Table1[[#This Row],[Κατηγορία]]&lt;0,"* Check Age *","")</f>
        <v/>
      </c>
    </row>
    <row r="746" spans="1:14" ht="18" hidden="1" customHeight="1" x14ac:dyDescent="0.2">
      <c r="A746" s="9" t="s">
        <v>1155</v>
      </c>
      <c r="B746" s="9" t="s">
        <v>1176</v>
      </c>
      <c r="C746" s="12" t="s">
        <v>1262</v>
      </c>
      <c r="D746" s="9"/>
      <c r="E746" s="11" t="s">
        <v>1186</v>
      </c>
      <c r="F746" s="52" t="s">
        <v>757</v>
      </c>
      <c r="I746" t="s">
        <v>230</v>
      </c>
      <c r="J746" s="10">
        <v>19769</v>
      </c>
      <c r="K746" s="10">
        <v>44093</v>
      </c>
      <c r="L746" t="s">
        <v>1009</v>
      </c>
      <c r="M746" s="1" t="s">
        <v>726</v>
      </c>
      <c r="N746" s="107" t="str">
        <f>IF(_xlfn.NUMBERVALUE(DATEDIF(J746,K746,"Y"))-Table1[[#This Row],[Κατηγορία]]&lt;0,"* Check Age *","")</f>
        <v/>
      </c>
    </row>
    <row r="747" spans="1:14" ht="18" hidden="1" customHeight="1" x14ac:dyDescent="0.2">
      <c r="A747" s="9" t="s">
        <v>1155</v>
      </c>
      <c r="B747" s="9" t="s">
        <v>1176</v>
      </c>
      <c r="C747" s="12" t="s">
        <v>1263</v>
      </c>
      <c r="D747" s="9"/>
      <c r="E747" s="11" t="s">
        <v>1186</v>
      </c>
      <c r="F747" s="52" t="s">
        <v>1381</v>
      </c>
      <c r="I747" t="s">
        <v>230</v>
      </c>
      <c r="J747" s="10">
        <v>19769</v>
      </c>
      <c r="K747" s="10">
        <v>45844</v>
      </c>
      <c r="L747" t="s">
        <v>44</v>
      </c>
      <c r="M747" t="s">
        <v>957</v>
      </c>
      <c r="N747" s="107" t="str">
        <f>IF(_xlfn.NUMBERVALUE(DATEDIF(J747,K747,"Y"))-Table1[[#This Row],[Κατηγορία]]&lt;0,"* Check Age *","")</f>
        <v/>
      </c>
    </row>
    <row r="748" spans="1:14" ht="18" hidden="1" customHeight="1" x14ac:dyDescent="0.2">
      <c r="A748" s="9" t="s">
        <v>1155</v>
      </c>
      <c r="B748" s="9" t="s">
        <v>1176</v>
      </c>
      <c r="C748" s="12" t="s">
        <v>1264</v>
      </c>
      <c r="D748" s="9"/>
      <c r="E748" s="11" t="s">
        <v>1186</v>
      </c>
      <c r="F748" s="52" t="s">
        <v>385</v>
      </c>
      <c r="I748" t="s">
        <v>212</v>
      </c>
      <c r="J748" s="10">
        <v>13492</v>
      </c>
      <c r="K748" s="10">
        <v>41174</v>
      </c>
      <c r="L748" t="s">
        <v>57</v>
      </c>
      <c r="M748" s="1" t="s">
        <v>15</v>
      </c>
      <c r="N748" s="107" t="str">
        <f>IF(_xlfn.NUMBERVALUE(DATEDIF(J748,K748,"Y"))-Table1[[#This Row],[Κατηγορία]]&lt;0,"* Check Age *","")</f>
        <v/>
      </c>
    </row>
    <row r="749" spans="1:14" ht="18" hidden="1" customHeight="1" x14ac:dyDescent="0.2">
      <c r="A749" s="9" t="s">
        <v>1155</v>
      </c>
      <c r="B749" s="9" t="s">
        <v>1176</v>
      </c>
      <c r="C749" s="12" t="s">
        <v>1265</v>
      </c>
      <c r="D749" s="9"/>
      <c r="E749" s="11" t="s">
        <v>1186</v>
      </c>
      <c r="F749" s="52" t="s">
        <v>386</v>
      </c>
      <c r="I749" t="s">
        <v>212</v>
      </c>
      <c r="J749" s="10">
        <v>13492</v>
      </c>
      <c r="K749" s="58">
        <v>2017</v>
      </c>
      <c r="L749" s="1" t="s">
        <v>63</v>
      </c>
      <c r="M749" s="1" t="s">
        <v>15</v>
      </c>
      <c r="N749" s="107"/>
    </row>
    <row r="750" spans="1:14" ht="18" hidden="1" customHeight="1" x14ac:dyDescent="0.2">
      <c r="A750" s="9" t="s">
        <v>1155</v>
      </c>
      <c r="B750" s="9" t="s">
        <v>1176</v>
      </c>
      <c r="C750" s="12" t="s">
        <v>1266</v>
      </c>
      <c r="D750" s="9"/>
      <c r="E750" s="11" t="s">
        <v>1186</v>
      </c>
      <c r="F750" s="52" t="s">
        <v>967</v>
      </c>
      <c r="I750" t="s">
        <v>212</v>
      </c>
      <c r="J750" s="10">
        <v>13492</v>
      </c>
      <c r="K750" s="54">
        <v>45170</v>
      </c>
      <c r="L750" t="s">
        <v>57</v>
      </c>
      <c r="M750" s="1" t="s">
        <v>15</v>
      </c>
      <c r="N750" s="107" t="str">
        <f>IF(_xlfn.NUMBERVALUE(DATEDIF(J750,K750,"Y"))-Table1[[#This Row],[Κατηγορία]]&lt;0,"* Check Age *","")</f>
        <v/>
      </c>
    </row>
    <row r="751" spans="1:14" ht="18" hidden="1" customHeight="1" x14ac:dyDescent="0.2">
      <c r="A751" s="9" t="s">
        <v>1202</v>
      </c>
      <c r="B751" s="9" t="s">
        <v>1176</v>
      </c>
      <c r="C751" s="23" t="s">
        <v>1256</v>
      </c>
      <c r="E751" s="11" t="s">
        <v>1186</v>
      </c>
      <c r="F751" s="57" t="s">
        <v>657</v>
      </c>
      <c r="G751" s="1"/>
      <c r="H751" s="58"/>
      <c r="I751" s="1" t="s">
        <v>658</v>
      </c>
      <c r="J751" s="15">
        <v>24998</v>
      </c>
      <c r="K751" s="15">
        <v>38150</v>
      </c>
      <c r="L751" s="1" t="s">
        <v>154</v>
      </c>
      <c r="M751" s="4" t="s">
        <v>155</v>
      </c>
      <c r="N751" s="107" t="str">
        <f>IF(_xlfn.NUMBERVALUE(DATEDIF(J751,K751,"Y"))-Table1[[#This Row],[Κατηγορία]]&lt;0,"* Check Age *","")</f>
        <v/>
      </c>
    </row>
    <row r="752" spans="1:14" ht="18" hidden="1" customHeight="1" x14ac:dyDescent="0.2">
      <c r="A752" s="9" t="s">
        <v>1202</v>
      </c>
      <c r="B752" s="9" t="s">
        <v>1176</v>
      </c>
      <c r="C752" s="23" t="s">
        <v>1257</v>
      </c>
      <c r="E752" s="11" t="s">
        <v>1186</v>
      </c>
      <c r="F752" s="73" t="s">
        <v>378</v>
      </c>
      <c r="G752" s="74"/>
      <c r="H752" s="58"/>
      <c r="I752" s="1" t="s">
        <v>642</v>
      </c>
      <c r="J752" s="15">
        <v>24738</v>
      </c>
      <c r="K752" s="23">
        <v>2007</v>
      </c>
      <c r="L752" s="1" t="s">
        <v>598</v>
      </c>
      <c r="M752" s="1" t="s">
        <v>15</v>
      </c>
      <c r="N752" s="107"/>
    </row>
    <row r="753" spans="1:14" ht="18" hidden="1" customHeight="1" x14ac:dyDescent="0.2">
      <c r="A753" s="9" t="s">
        <v>1202</v>
      </c>
      <c r="B753" s="9" t="s">
        <v>1176</v>
      </c>
      <c r="C753" s="23" t="s">
        <v>1258</v>
      </c>
      <c r="E753" s="11" t="s">
        <v>1186</v>
      </c>
      <c r="F753" s="57" t="s">
        <v>659</v>
      </c>
      <c r="G753" s="1"/>
      <c r="H753" s="58"/>
      <c r="I753" s="1" t="s">
        <v>642</v>
      </c>
      <c r="J753" s="15">
        <v>24738</v>
      </c>
      <c r="K753" s="23">
        <v>2014</v>
      </c>
      <c r="L753" s="1" t="s">
        <v>60</v>
      </c>
      <c r="M753" s="1" t="s">
        <v>343</v>
      </c>
      <c r="N753" s="107"/>
    </row>
    <row r="754" spans="1:14" ht="18" hidden="1" customHeight="1" x14ac:dyDescent="0.2">
      <c r="A754" s="9" t="s">
        <v>1202</v>
      </c>
      <c r="B754" s="9" t="s">
        <v>1176</v>
      </c>
      <c r="C754" s="23" t="s">
        <v>1259</v>
      </c>
      <c r="E754" s="11" t="s">
        <v>1186</v>
      </c>
      <c r="F754" s="57" t="s">
        <v>660</v>
      </c>
      <c r="G754" s="1"/>
      <c r="H754" s="58"/>
      <c r="I754" s="1" t="s">
        <v>642</v>
      </c>
      <c r="J754" s="15">
        <v>24738</v>
      </c>
      <c r="K754" s="23">
        <v>2018</v>
      </c>
      <c r="L754" s="1" t="s">
        <v>95</v>
      </c>
      <c r="M754" s="1"/>
      <c r="N754" s="107"/>
    </row>
    <row r="755" spans="1:14" ht="18" hidden="1" customHeight="1" x14ac:dyDescent="0.2">
      <c r="A755" s="9" t="s">
        <v>1202</v>
      </c>
      <c r="B755" s="9" t="s">
        <v>1176</v>
      </c>
      <c r="C755" s="23" t="s">
        <v>1259</v>
      </c>
      <c r="E755" s="11" t="s">
        <v>1187</v>
      </c>
      <c r="F755" s="57" t="s">
        <v>660</v>
      </c>
      <c r="G755" s="1"/>
      <c r="H755" s="58"/>
      <c r="I755" s="1" t="s">
        <v>903</v>
      </c>
      <c r="J755" s="15">
        <v>26033</v>
      </c>
      <c r="K755" s="15">
        <v>44827</v>
      </c>
      <c r="L755" s="1" t="s">
        <v>95</v>
      </c>
      <c r="M755" s="1" t="s">
        <v>15</v>
      </c>
      <c r="N755" s="107" t="str">
        <f>IF(_xlfn.NUMBERVALUE(DATEDIF(J755,K755,"Y"))-Table1[[#This Row],[Κατηγορία]]&lt;0,"* Check Age *","")</f>
        <v/>
      </c>
    </row>
    <row r="756" spans="1:14" ht="18" hidden="1" customHeight="1" x14ac:dyDescent="0.2">
      <c r="A756" s="9" t="s">
        <v>1202</v>
      </c>
      <c r="B756" s="9" t="s">
        <v>1176</v>
      </c>
      <c r="C756" s="23" t="s">
        <v>1260</v>
      </c>
      <c r="E756" s="11" t="s">
        <v>1186</v>
      </c>
      <c r="F756" s="57" t="s">
        <v>1052</v>
      </c>
      <c r="G756" s="1"/>
      <c r="H756" s="58"/>
      <c r="I756" s="1" t="s">
        <v>538</v>
      </c>
      <c r="J756" s="15">
        <v>24543</v>
      </c>
      <c r="K756" s="15">
        <v>45444</v>
      </c>
      <c r="L756" s="1" t="s">
        <v>23</v>
      </c>
      <c r="M756" s="1" t="s">
        <v>753</v>
      </c>
      <c r="N756" s="107" t="str">
        <f>IF(_xlfn.NUMBERVALUE(DATEDIF(J756,K756,"Y"))-Table1[[#This Row],[Κατηγορία]]&lt;0,"* Check Age *","")</f>
        <v/>
      </c>
    </row>
    <row r="757" spans="1:14" ht="18" hidden="1" customHeight="1" x14ac:dyDescent="0.2">
      <c r="A757" s="9" t="s">
        <v>1202</v>
      </c>
      <c r="B757" s="9" t="s">
        <v>1176</v>
      </c>
      <c r="C757" s="23" t="s">
        <v>1261</v>
      </c>
      <c r="E757" s="11" t="s">
        <v>1186</v>
      </c>
      <c r="F757" s="57" t="s">
        <v>786</v>
      </c>
      <c r="G757" s="1"/>
      <c r="H757" s="58"/>
      <c r="I757" s="1" t="s">
        <v>661</v>
      </c>
      <c r="J757" s="15">
        <v>22268</v>
      </c>
      <c r="K757" s="15">
        <v>44366</v>
      </c>
      <c r="L757" s="1" t="s">
        <v>46</v>
      </c>
      <c r="M757" s="1" t="s">
        <v>40</v>
      </c>
      <c r="N757" s="107" t="str">
        <f>IF(_xlfn.NUMBERVALUE(DATEDIF(J757,K757,"Y"))-Table1[[#This Row],[Κατηγορία]]&lt;0,"* Check Age *","")</f>
        <v/>
      </c>
    </row>
    <row r="758" spans="1:14" ht="18" hidden="1" customHeight="1" x14ac:dyDescent="0.2">
      <c r="A758" s="9" t="s">
        <v>1202</v>
      </c>
      <c r="B758" s="9" t="s">
        <v>1176</v>
      </c>
      <c r="C758" s="23" t="s">
        <v>1261</v>
      </c>
      <c r="E758" s="11" t="s">
        <v>1187</v>
      </c>
      <c r="F758" s="57" t="s">
        <v>786</v>
      </c>
      <c r="G758" s="1"/>
      <c r="H758" s="58"/>
      <c r="I758" s="1" t="s">
        <v>661</v>
      </c>
      <c r="J758" s="15">
        <v>22268</v>
      </c>
      <c r="K758" s="15">
        <v>44827</v>
      </c>
      <c r="L758" s="1" t="s">
        <v>95</v>
      </c>
      <c r="M758" s="1" t="s">
        <v>15</v>
      </c>
      <c r="N758" s="107" t="str">
        <f>IF(_xlfn.NUMBERVALUE(DATEDIF(J758,K758,"Y"))-Table1[[#This Row],[Κατηγορία]]&lt;0,"* Check Age *","")</f>
        <v/>
      </c>
    </row>
    <row r="759" spans="1:14" ht="18" hidden="1" customHeight="1" x14ac:dyDescent="0.2">
      <c r="A759" s="9" t="s">
        <v>1202</v>
      </c>
      <c r="B759" s="9" t="s">
        <v>1176</v>
      </c>
      <c r="C759" s="23" t="s">
        <v>1261</v>
      </c>
      <c r="E759" s="11" t="s">
        <v>1206</v>
      </c>
      <c r="F759" s="57" t="s">
        <v>786</v>
      </c>
      <c r="G759" s="1"/>
      <c r="H759" s="58"/>
      <c r="I759" s="1" t="s">
        <v>661</v>
      </c>
      <c r="J759" s="15">
        <v>22268</v>
      </c>
      <c r="K759" s="15">
        <v>45170</v>
      </c>
      <c r="L759" t="s">
        <v>57</v>
      </c>
      <c r="M759" t="s">
        <v>15</v>
      </c>
      <c r="N759" s="107" t="str">
        <f>IF(_xlfn.NUMBERVALUE(DATEDIF(J759,K759,"Y"))-Table1[[#This Row],[Κατηγορία]]&lt;0,"* Check Age *","")</f>
        <v/>
      </c>
    </row>
    <row r="760" spans="1:14" ht="18" hidden="1" customHeight="1" x14ac:dyDescent="0.2">
      <c r="A760" s="9" t="s">
        <v>1202</v>
      </c>
      <c r="B760" s="9" t="s">
        <v>1176</v>
      </c>
      <c r="C760" s="23" t="s">
        <v>1262</v>
      </c>
      <c r="E760" s="11" t="s">
        <v>1186</v>
      </c>
      <c r="F760" s="57" t="s">
        <v>712</v>
      </c>
      <c r="G760" s="1"/>
      <c r="H760" s="58"/>
      <c r="I760" s="1" t="s">
        <v>543</v>
      </c>
      <c r="J760" s="15">
        <v>16444</v>
      </c>
      <c r="K760" s="23">
        <v>2010</v>
      </c>
      <c r="L760" s="1" t="s">
        <v>89</v>
      </c>
      <c r="M760" s="1" t="s">
        <v>79</v>
      </c>
      <c r="N760" s="107"/>
    </row>
    <row r="761" spans="1:14" ht="18" hidden="1" customHeight="1" x14ac:dyDescent="0.2">
      <c r="A761" s="9"/>
      <c r="C761" s="23"/>
      <c r="F761" s="67"/>
      <c r="G761" s="75"/>
      <c r="H761" s="58"/>
      <c r="I761" s="1" t="s">
        <v>1433</v>
      </c>
      <c r="J761" s="15"/>
      <c r="K761" s="23"/>
      <c r="L761" s="1"/>
      <c r="M761" s="1"/>
      <c r="N761" s="107"/>
    </row>
    <row r="762" spans="1:14" ht="18" hidden="1" customHeight="1" x14ac:dyDescent="0.2">
      <c r="A762" s="9"/>
      <c r="C762" s="23"/>
      <c r="F762" s="67"/>
      <c r="G762" s="75"/>
      <c r="H762" s="58"/>
      <c r="I762" s="1"/>
      <c r="J762" s="23"/>
      <c r="K762" s="23"/>
      <c r="L762" s="1"/>
      <c r="M762" s="1"/>
      <c r="N762" s="107" t="str">
        <f>IF(_xlfn.NUMBERVALUE(DATEDIF(J762,K762,"Y"))-Table1[[#This Row],[Κατηγορία]]&lt;0,"* Check Age *","")</f>
        <v/>
      </c>
    </row>
    <row r="763" spans="1:14" ht="18" hidden="1" customHeight="1" x14ac:dyDescent="0.2">
      <c r="A763" s="9"/>
      <c r="C763" s="23"/>
      <c r="F763" s="67"/>
      <c r="G763" s="75"/>
      <c r="H763" s="58"/>
      <c r="I763" s="1"/>
      <c r="J763" s="23"/>
      <c r="K763" s="23"/>
      <c r="L763" s="1"/>
      <c r="M763" s="1"/>
      <c r="N763" s="107" t="str">
        <f>IF(_xlfn.NUMBERVALUE(DATEDIF(J763,K763,"Y"))-Table1[[#This Row],[Κατηγορία]]&lt;0,"* Check Age *","")</f>
        <v/>
      </c>
    </row>
    <row r="764" spans="1:14" ht="18" hidden="1" customHeight="1" x14ac:dyDescent="0.2">
      <c r="A764" s="9"/>
      <c r="C764" s="23"/>
      <c r="F764" s="67"/>
      <c r="G764" s="75"/>
      <c r="H764" s="58"/>
      <c r="I764" s="1"/>
      <c r="J764" s="23"/>
      <c r="K764" s="23"/>
      <c r="L764" s="1"/>
      <c r="M764" s="1"/>
      <c r="N764" s="107" t="str">
        <f>IF(_xlfn.NUMBERVALUE(DATEDIF(J764,K764,"Y"))-Table1[[#This Row],[Κατηγορία]]&lt;0,"* Check Age *","")</f>
        <v/>
      </c>
    </row>
    <row r="765" spans="1:14" ht="18" hidden="1" customHeight="1" x14ac:dyDescent="0.2">
      <c r="A765" s="9"/>
      <c r="C765" s="23"/>
      <c r="F765" s="67"/>
      <c r="G765" s="75"/>
      <c r="H765" s="58"/>
      <c r="I765" s="1"/>
      <c r="J765" s="23"/>
      <c r="K765" s="23"/>
      <c r="L765" s="1"/>
      <c r="M765" s="1"/>
      <c r="N765" s="107" t="str">
        <f>IF(_xlfn.NUMBERVALUE(DATEDIF(J765,K765,"Y"))-Table1[[#This Row],[Κατηγορία]]&lt;0,"* Check Age *","")</f>
        <v/>
      </c>
    </row>
    <row r="766" spans="1:14" ht="18" hidden="1" customHeight="1" x14ac:dyDescent="0.2">
      <c r="A766" s="9"/>
      <c r="C766" s="23"/>
      <c r="F766" s="67"/>
      <c r="G766" s="75"/>
      <c r="H766" s="58"/>
      <c r="I766" s="1"/>
      <c r="J766" s="23"/>
      <c r="K766" s="23"/>
      <c r="L766" s="1"/>
      <c r="M766" s="1"/>
      <c r="N766" s="107" t="str">
        <f>IF(_xlfn.NUMBERVALUE(DATEDIF(J766,K766,"Y"))-Table1[[#This Row],[Κατηγορία]]&lt;0,"* Check Age *","")</f>
        <v/>
      </c>
    </row>
    <row r="767" spans="1:14" ht="18" hidden="1" customHeight="1" x14ac:dyDescent="0.2">
      <c r="A767" s="9"/>
      <c r="C767" s="23"/>
      <c r="F767" s="67"/>
      <c r="G767" s="75"/>
      <c r="H767" s="58"/>
      <c r="I767" s="1"/>
      <c r="J767" s="23"/>
      <c r="K767" s="23"/>
      <c r="L767" s="1"/>
      <c r="M767" s="1"/>
      <c r="N767" s="107" t="str">
        <f>IF(_xlfn.NUMBERVALUE(DATEDIF(J767,K767,"Y"))-Table1[[#This Row],[Κατηγορία]]&lt;0,"* Check Age *","")</f>
        <v/>
      </c>
    </row>
    <row r="768" spans="1:14" ht="18" hidden="1" customHeight="1" x14ac:dyDescent="0.2">
      <c r="A768" s="9"/>
      <c r="C768" s="23"/>
      <c r="F768" s="67"/>
      <c r="G768" s="75"/>
      <c r="H768" s="58"/>
      <c r="I768" s="1"/>
      <c r="J768" s="23"/>
      <c r="K768" s="23"/>
      <c r="L768" s="1"/>
      <c r="M768" s="1"/>
      <c r="N768" s="107" t="str">
        <f>IF(_xlfn.NUMBERVALUE(DATEDIF(J768,K768,"Y"))-Table1[[#This Row],[Κατηγορία]]&lt;0,"* Check Age *","")</f>
        <v/>
      </c>
    </row>
    <row r="769" spans="1:14" ht="18" hidden="1" customHeight="1" x14ac:dyDescent="0.2">
      <c r="A769" s="9"/>
      <c r="C769" s="23"/>
      <c r="F769" s="67"/>
      <c r="G769" s="75"/>
      <c r="H769" s="58"/>
      <c r="I769" s="1"/>
      <c r="J769" s="23"/>
      <c r="K769" s="23"/>
      <c r="L769" s="1"/>
      <c r="M769" s="1"/>
      <c r="N769" s="107" t="str">
        <f>IF(_xlfn.NUMBERVALUE(DATEDIF(J769,K769,"Y"))-Table1[[#This Row],[Κατηγορία]]&lt;0,"* Check Age *","")</f>
        <v/>
      </c>
    </row>
    <row r="770" spans="1:14" ht="18" hidden="1" customHeight="1" x14ac:dyDescent="0.2">
      <c r="A770" s="9"/>
      <c r="C770" s="23"/>
      <c r="F770" s="67"/>
      <c r="G770" s="75"/>
      <c r="H770" s="58"/>
      <c r="I770" s="1"/>
      <c r="J770" s="23"/>
      <c r="K770" s="23"/>
      <c r="L770" s="1"/>
      <c r="M770" s="1"/>
      <c r="N770" s="107" t="str">
        <f>IF(_xlfn.NUMBERVALUE(DATEDIF(J770,K770,"Y"))-Table1[[#This Row],[Κατηγορία]]&lt;0,"* Check Age *","")</f>
        <v/>
      </c>
    </row>
    <row r="771" spans="1:14" ht="18" hidden="1" customHeight="1" x14ac:dyDescent="0.2">
      <c r="A771" s="9"/>
      <c r="C771" s="23"/>
      <c r="F771" s="67"/>
      <c r="G771" s="75"/>
      <c r="H771" s="58"/>
      <c r="I771" s="1"/>
      <c r="J771" s="23"/>
      <c r="K771" s="23"/>
      <c r="L771" s="1"/>
      <c r="M771" s="1"/>
      <c r="N771" s="107" t="str">
        <f>IF(_xlfn.NUMBERVALUE(DATEDIF(J771,K771,"Y"))-Table1[[#This Row],[Κατηγορία]]&lt;0,"* Check Age *","")</f>
        <v/>
      </c>
    </row>
    <row r="772" spans="1:14" ht="18" hidden="1" customHeight="1" x14ac:dyDescent="0.2">
      <c r="A772" s="9"/>
      <c r="C772" s="23"/>
      <c r="F772" s="67"/>
      <c r="G772" s="75"/>
      <c r="H772" s="58"/>
      <c r="I772" s="1"/>
      <c r="J772" s="23"/>
      <c r="K772" s="23"/>
      <c r="L772" s="1"/>
      <c r="M772" s="1"/>
      <c r="N772" s="107" t="str">
        <f>IF(_xlfn.NUMBERVALUE(DATEDIF(J772,K772,"Y"))-Table1[[#This Row],[Κατηγορία]]&lt;0,"* Check Age *","")</f>
        <v/>
      </c>
    </row>
    <row r="773" spans="1:14" ht="18" hidden="1" customHeight="1" x14ac:dyDescent="0.2">
      <c r="A773" s="9"/>
      <c r="C773" s="23"/>
      <c r="F773" s="67"/>
      <c r="G773" s="75"/>
      <c r="H773" s="58"/>
      <c r="I773" s="1"/>
      <c r="J773" s="23"/>
      <c r="K773" s="23"/>
      <c r="L773" s="1"/>
      <c r="M773" s="1"/>
      <c r="N773" s="107" t="str">
        <f>IF(_xlfn.NUMBERVALUE(DATEDIF(J773,K773,"Y"))-Table1[[#This Row],[Κατηγορία]]&lt;0,"* Check Age *","")</f>
        <v/>
      </c>
    </row>
    <row r="774" spans="1:14" ht="18" hidden="1" customHeight="1" x14ac:dyDescent="0.2">
      <c r="A774" s="9"/>
      <c r="C774" s="23"/>
      <c r="F774" s="67"/>
      <c r="G774" s="75"/>
      <c r="H774" s="58"/>
      <c r="I774" s="1"/>
      <c r="J774" s="23"/>
      <c r="K774" s="23"/>
      <c r="L774" s="1"/>
      <c r="M774" s="1"/>
      <c r="N774" s="107" t="str">
        <f>IF(_xlfn.NUMBERVALUE(DATEDIF(J774,K774,"Y"))-Table1[[#This Row],[Κατηγορία]]&lt;0,"* Check Age *","")</f>
        <v/>
      </c>
    </row>
    <row r="775" spans="1:14" ht="18" hidden="1" customHeight="1" x14ac:dyDescent="0.2">
      <c r="A775" s="9"/>
      <c r="C775" s="23"/>
      <c r="F775" s="67"/>
      <c r="G775" s="75"/>
      <c r="H775" s="58"/>
      <c r="I775" s="1"/>
      <c r="J775" s="23"/>
      <c r="K775" s="23"/>
      <c r="L775" s="1"/>
      <c r="M775" s="1"/>
      <c r="N775" s="107" t="str">
        <f>IF(_xlfn.NUMBERVALUE(DATEDIF(J775,K775,"Y"))-Table1[[#This Row],[Κατηγορία]]&lt;0,"* Check Age *","")</f>
        <v/>
      </c>
    </row>
    <row r="776" spans="1:14" ht="18" hidden="1" customHeight="1" x14ac:dyDescent="0.2">
      <c r="A776" s="9"/>
      <c r="C776" s="23"/>
      <c r="F776" s="67"/>
      <c r="G776" s="75"/>
      <c r="H776" s="58"/>
      <c r="I776" s="1"/>
      <c r="J776" s="23"/>
      <c r="K776" s="23"/>
      <c r="L776" s="1"/>
      <c r="M776" s="1"/>
      <c r="N776" s="107" t="str">
        <f>IF(_xlfn.NUMBERVALUE(DATEDIF(J776,K776,"Y"))-Table1[[#This Row],[Κατηγορία]]&lt;0,"* Check Age *","")</f>
        <v/>
      </c>
    </row>
    <row r="777" spans="1:14" ht="18" hidden="1" customHeight="1" x14ac:dyDescent="0.2">
      <c r="A777" s="9"/>
      <c r="C777" s="23"/>
      <c r="F777" s="67"/>
      <c r="G777" s="75"/>
      <c r="H777" s="58"/>
      <c r="I777" s="1"/>
      <c r="J777" s="23"/>
      <c r="K777" s="23"/>
      <c r="L777" s="1"/>
      <c r="M777" s="1"/>
      <c r="N777" s="107" t="str">
        <f>IF(_xlfn.NUMBERVALUE(DATEDIF(J777,K777,"Y"))-Table1[[#This Row],[Κατηγορία]]&lt;0,"* Check Age *","")</f>
        <v/>
      </c>
    </row>
    <row r="778" spans="1:14" ht="18" hidden="1" customHeight="1" x14ac:dyDescent="0.2">
      <c r="A778" s="9"/>
      <c r="C778" s="23"/>
      <c r="F778" s="67"/>
      <c r="G778" s="75"/>
      <c r="H778" s="58"/>
      <c r="I778" s="1"/>
      <c r="J778" s="23"/>
      <c r="K778" s="23"/>
      <c r="L778" s="1"/>
      <c r="M778" s="1"/>
      <c r="N778" s="107" t="str">
        <f>IF(_xlfn.NUMBERVALUE(DATEDIF(J778,K778,"Y"))-Table1[[#This Row],[Κατηγορία]]&lt;0,"* Check Age *","")</f>
        <v/>
      </c>
    </row>
    <row r="779" spans="1:14" ht="18" hidden="1" customHeight="1" x14ac:dyDescent="0.2">
      <c r="A779" s="9"/>
      <c r="C779" s="23"/>
      <c r="F779" s="67"/>
      <c r="G779" s="75"/>
      <c r="H779" s="58"/>
      <c r="I779" s="1"/>
      <c r="J779" s="23"/>
      <c r="K779" s="23"/>
      <c r="L779" s="1"/>
      <c r="M779" s="1"/>
      <c r="N779" s="107" t="str">
        <f>IF(_xlfn.NUMBERVALUE(DATEDIF(J779,K779,"Y"))-Table1[[#This Row],[Κατηγορία]]&lt;0,"* Check Age *","")</f>
        <v/>
      </c>
    </row>
    <row r="780" spans="1:14" ht="18" hidden="1" customHeight="1" x14ac:dyDescent="0.2">
      <c r="A780" s="9"/>
      <c r="C780" s="23"/>
      <c r="F780" s="67"/>
      <c r="G780" s="75"/>
      <c r="H780" s="58"/>
      <c r="I780" s="1"/>
      <c r="J780" s="23"/>
      <c r="K780" s="23"/>
      <c r="L780" s="1"/>
      <c r="M780" s="1"/>
      <c r="N780" s="107" t="str">
        <f>IF(_xlfn.NUMBERVALUE(DATEDIF(J780,K780,"Y"))-Table1[[#This Row],[Κατηγορία]]&lt;0,"* Check Age *","")</f>
        <v/>
      </c>
    </row>
    <row r="781" spans="1:14" ht="18" hidden="1" customHeight="1" x14ac:dyDescent="0.2">
      <c r="A781" s="9"/>
      <c r="C781" s="23"/>
      <c r="F781" s="67"/>
      <c r="G781" s="75"/>
      <c r="H781" s="58"/>
      <c r="I781" s="1"/>
      <c r="J781" s="23"/>
      <c r="K781" s="23"/>
      <c r="L781" s="1"/>
      <c r="M781" s="1"/>
      <c r="N781" s="107" t="str">
        <f>IF(_xlfn.NUMBERVALUE(DATEDIF(J781,K781,"Y"))-Table1[[#This Row],[Κατηγορία]]&lt;0,"* Check Age *","")</f>
        <v/>
      </c>
    </row>
    <row r="782" spans="1:14" ht="18" hidden="1" customHeight="1" x14ac:dyDescent="0.2">
      <c r="A782" s="9"/>
      <c r="C782" s="23"/>
      <c r="F782" s="67"/>
      <c r="G782" s="75"/>
      <c r="H782" s="58"/>
      <c r="I782" s="1"/>
      <c r="J782" s="23"/>
      <c r="K782" s="23"/>
      <c r="L782" s="1"/>
      <c r="M782" s="1"/>
      <c r="N782" s="107" t="str">
        <f>IF(_xlfn.NUMBERVALUE(DATEDIF(J782,K782,"Y"))-Table1[[#This Row],[Κατηγορία]]&lt;0,"* Check Age *","")</f>
        <v/>
      </c>
    </row>
    <row r="783" spans="1:14" ht="18" hidden="1" customHeight="1" x14ac:dyDescent="0.2">
      <c r="A783" s="9"/>
      <c r="C783" s="23"/>
      <c r="F783" s="67"/>
      <c r="G783" s="75"/>
      <c r="H783" s="58"/>
      <c r="I783" s="1"/>
      <c r="J783" s="23"/>
      <c r="K783" s="23"/>
      <c r="L783" s="1"/>
      <c r="M783" s="1"/>
      <c r="N783" s="107" t="str">
        <f>IF(_xlfn.NUMBERVALUE(DATEDIF(J783,K783,"Y"))-Table1[[#This Row],[Κατηγορία]]&lt;0,"* Check Age *","")</f>
        <v/>
      </c>
    </row>
    <row r="784" spans="1:14" ht="18" hidden="1" customHeight="1" x14ac:dyDescent="0.2">
      <c r="A784" s="9"/>
      <c r="C784" s="23"/>
      <c r="F784" s="67"/>
      <c r="G784" s="75"/>
      <c r="H784" s="58"/>
      <c r="I784" s="1"/>
      <c r="J784" s="23"/>
      <c r="K784" s="23"/>
      <c r="L784" s="1"/>
      <c r="M784" s="1"/>
      <c r="N784" s="107" t="str">
        <f>IF(_xlfn.NUMBERVALUE(DATEDIF(J784,K784,"Y"))-Table1[[#This Row],[Κατηγορία]]&lt;0,"* Check Age *","")</f>
        <v/>
      </c>
    </row>
    <row r="785" spans="1:14" ht="18" hidden="1" customHeight="1" x14ac:dyDescent="0.2">
      <c r="A785" s="9"/>
      <c r="C785" s="23"/>
      <c r="F785" s="67"/>
      <c r="G785" s="75"/>
      <c r="H785" s="58"/>
      <c r="I785" s="1"/>
      <c r="J785" s="23"/>
      <c r="K785" s="23"/>
      <c r="L785" s="1"/>
      <c r="M785" s="1"/>
      <c r="N785" s="107" t="str">
        <f>IF(_xlfn.NUMBERVALUE(DATEDIF(J785,K785,"Y"))-Table1[[#This Row],[Κατηγορία]]&lt;0,"* Check Age *","")</f>
        <v/>
      </c>
    </row>
    <row r="786" spans="1:14" ht="18" hidden="1" customHeight="1" x14ac:dyDescent="0.2">
      <c r="A786" s="9"/>
      <c r="C786" s="23"/>
      <c r="F786" s="67"/>
      <c r="G786" s="75"/>
      <c r="H786" s="58"/>
      <c r="I786" s="1"/>
      <c r="J786" s="23"/>
      <c r="K786" s="23"/>
      <c r="L786" s="1"/>
      <c r="M786" s="1"/>
      <c r="N786" s="107" t="str">
        <f>IF(_xlfn.NUMBERVALUE(DATEDIF(J786,K786,"Y"))-Table1[[#This Row],[Κατηγορία]]&lt;0,"* Check Age *","")</f>
        <v/>
      </c>
    </row>
    <row r="787" spans="1:14" ht="18" hidden="1" customHeight="1" x14ac:dyDescent="0.2">
      <c r="A787" s="9"/>
      <c r="C787" s="23"/>
      <c r="F787" s="67"/>
      <c r="G787" s="75"/>
      <c r="H787" s="58"/>
      <c r="I787" s="1"/>
      <c r="J787" s="23"/>
      <c r="K787" s="23"/>
      <c r="L787" s="1"/>
      <c r="M787" s="1"/>
      <c r="N787" s="107" t="str">
        <f>IF(_xlfn.NUMBERVALUE(DATEDIF(J787,K787,"Y"))-Table1[[#This Row],[Κατηγορία]]&lt;0,"* Check Age *","")</f>
        <v/>
      </c>
    </row>
    <row r="788" spans="1:14" ht="18" hidden="1" customHeight="1" x14ac:dyDescent="0.2">
      <c r="A788" s="9"/>
      <c r="C788" s="23"/>
      <c r="F788" s="67"/>
      <c r="G788" s="75"/>
      <c r="H788" s="58"/>
      <c r="I788" s="1"/>
      <c r="J788" s="23"/>
      <c r="K788" s="23"/>
      <c r="L788" s="1"/>
      <c r="M788" s="1"/>
      <c r="N788" s="107" t="str">
        <f>IF(_xlfn.NUMBERVALUE(DATEDIF(J788,K788,"Y"))-Table1[[#This Row],[Κατηγορία]]&lt;0,"* Check Age *","")</f>
        <v/>
      </c>
    </row>
    <row r="789" spans="1:14" ht="18" hidden="1" customHeight="1" x14ac:dyDescent="0.2">
      <c r="A789" s="9"/>
      <c r="C789" s="23"/>
      <c r="F789" s="67"/>
      <c r="G789" s="75"/>
      <c r="H789" s="58"/>
      <c r="I789" s="1"/>
      <c r="J789" s="23"/>
      <c r="K789" s="23"/>
      <c r="L789" s="1"/>
      <c r="M789" s="1"/>
      <c r="N789" s="107" t="str">
        <f>IF(_xlfn.NUMBERVALUE(DATEDIF(J789,K789,"Y"))-Table1[[#This Row],[Κατηγορία]]&lt;0,"* Check Age *","")</f>
        <v/>
      </c>
    </row>
    <row r="790" spans="1:14" ht="18" hidden="1" customHeight="1" x14ac:dyDescent="0.2">
      <c r="A790" s="9"/>
      <c r="C790" s="23"/>
      <c r="F790" s="67"/>
      <c r="G790" s="75"/>
      <c r="H790" s="58"/>
      <c r="I790" s="1"/>
      <c r="J790" s="23"/>
      <c r="K790" s="23"/>
      <c r="L790" s="1"/>
      <c r="M790" s="1"/>
      <c r="N790" s="107" t="str">
        <f>IF(_xlfn.NUMBERVALUE(DATEDIF(J790,K790,"Y"))-Table1[[#This Row],[Κατηγορία]]&lt;0,"* Check Age *","")</f>
        <v/>
      </c>
    </row>
    <row r="791" spans="1:14" ht="18" hidden="1" customHeight="1" x14ac:dyDescent="0.2">
      <c r="A791" s="9"/>
      <c r="C791" s="23"/>
      <c r="F791" s="67"/>
      <c r="G791" s="75"/>
      <c r="H791" s="58"/>
      <c r="I791" s="1"/>
      <c r="J791" s="23"/>
      <c r="K791" s="23"/>
      <c r="L791" s="1"/>
      <c r="M791" s="1"/>
      <c r="N791" s="107" t="str">
        <f>IF(_xlfn.NUMBERVALUE(DATEDIF(J791,K791,"Y"))-Table1[[#This Row],[Κατηγορία]]&lt;0,"* Check Age *","")</f>
        <v/>
      </c>
    </row>
    <row r="792" spans="1:14" ht="18" hidden="1" customHeight="1" x14ac:dyDescent="0.2">
      <c r="A792" s="9"/>
      <c r="C792" s="23"/>
      <c r="F792" s="67"/>
      <c r="G792" s="75"/>
      <c r="H792" s="58"/>
      <c r="I792" s="1"/>
      <c r="J792" s="23"/>
      <c r="K792" s="23"/>
      <c r="L792" s="1"/>
      <c r="M792" s="1"/>
      <c r="N792" s="107" t="str">
        <f>IF(_xlfn.NUMBERVALUE(DATEDIF(J792,K792,"Y"))-Table1[[#This Row],[Κατηγορία]]&lt;0,"* Check Age *","")</f>
        <v/>
      </c>
    </row>
    <row r="793" spans="1:14" ht="18" hidden="1" customHeight="1" x14ac:dyDescent="0.2">
      <c r="A793" s="9"/>
      <c r="C793" s="23"/>
      <c r="F793" s="67"/>
      <c r="G793" s="75"/>
      <c r="H793" s="58"/>
      <c r="I793" s="1"/>
      <c r="J793" s="23"/>
      <c r="K793" s="23"/>
      <c r="L793" s="1"/>
      <c r="M793" s="1"/>
      <c r="N793" s="107" t="str">
        <f>IF(_xlfn.NUMBERVALUE(DATEDIF(J793,K793,"Y"))-Table1[[#This Row],[Κατηγορία]]&lt;0,"* Check Age *","")</f>
        <v/>
      </c>
    </row>
    <row r="794" spans="1:14" ht="18" hidden="1" customHeight="1" x14ac:dyDescent="0.2">
      <c r="A794" s="9"/>
      <c r="C794" s="23"/>
      <c r="F794" s="67"/>
      <c r="G794" s="75"/>
      <c r="H794" s="58"/>
      <c r="I794" s="1"/>
      <c r="J794" s="23"/>
      <c r="K794" s="23"/>
      <c r="L794" s="1"/>
      <c r="M794" s="1"/>
      <c r="N794" s="107" t="str">
        <f>IF(_xlfn.NUMBERVALUE(DATEDIF(J794,K794,"Y"))-Table1[[#This Row],[Κατηγορία]]&lt;0,"* Check Age *","")</f>
        <v/>
      </c>
    </row>
    <row r="795" spans="1:14" ht="18" hidden="1" customHeight="1" x14ac:dyDescent="0.2">
      <c r="A795" s="9"/>
      <c r="C795" s="23"/>
      <c r="F795" s="67"/>
      <c r="G795" s="75"/>
      <c r="H795" s="58"/>
      <c r="I795" s="1"/>
      <c r="J795" s="23"/>
      <c r="K795" s="23"/>
      <c r="L795" s="1"/>
      <c r="M795" s="1"/>
      <c r="N795" s="107" t="str">
        <f>IF(_xlfn.NUMBERVALUE(DATEDIF(J795,K795,"Y"))-Table1[[#This Row],[Κατηγορία]]&lt;0,"* Check Age *","")</f>
        <v/>
      </c>
    </row>
    <row r="796" spans="1:14" ht="18" hidden="1" customHeight="1" x14ac:dyDescent="0.2">
      <c r="A796" s="9"/>
      <c r="C796" s="23"/>
      <c r="F796" s="67"/>
      <c r="G796" s="75"/>
      <c r="H796" s="58"/>
      <c r="I796" s="1"/>
      <c r="J796" s="23"/>
      <c r="K796" s="23"/>
      <c r="L796" s="1"/>
      <c r="M796" s="1"/>
      <c r="N796" s="107" t="str">
        <f>IF(_xlfn.NUMBERVALUE(DATEDIF(J796,K796,"Y"))-Table1[[#This Row],[Κατηγορία]]&lt;0,"* Check Age *","")</f>
        <v/>
      </c>
    </row>
    <row r="797" spans="1:14" ht="18" hidden="1" customHeight="1" x14ac:dyDescent="0.2">
      <c r="A797" s="9"/>
      <c r="C797" s="23"/>
      <c r="F797" s="67"/>
      <c r="G797" s="75"/>
      <c r="H797" s="58"/>
      <c r="I797" s="1"/>
      <c r="J797" s="23"/>
      <c r="K797" s="23"/>
      <c r="L797" s="1"/>
      <c r="M797" s="1"/>
      <c r="N797" s="107" t="str">
        <f>IF(_xlfn.NUMBERVALUE(DATEDIF(J797,K797,"Y"))-Table1[[#This Row],[Κατηγορία]]&lt;0,"* Check Age *","")</f>
        <v/>
      </c>
    </row>
    <row r="798" spans="1:14" ht="18" hidden="1" customHeight="1" x14ac:dyDescent="0.2">
      <c r="A798" s="9"/>
      <c r="C798" s="23"/>
      <c r="F798" s="67"/>
      <c r="G798" s="75"/>
      <c r="H798" s="58"/>
      <c r="I798" s="1"/>
      <c r="J798" s="23"/>
      <c r="K798" s="23"/>
      <c r="L798" s="1"/>
      <c r="M798" s="1"/>
    </row>
    <row r="799" spans="1:14" ht="18" hidden="1" customHeight="1" x14ac:dyDescent="0.2">
      <c r="A799" s="9"/>
      <c r="C799" s="23"/>
      <c r="F799" s="67"/>
      <c r="G799" s="75"/>
      <c r="H799" s="58"/>
      <c r="I799" s="1"/>
      <c r="J799" s="23"/>
      <c r="K799" s="23"/>
      <c r="L799" s="1"/>
      <c r="M799" s="1"/>
    </row>
  </sheetData>
  <phoneticPr fontId="11" type="noConversion"/>
  <pageMargins left="0.7" right="0.7" top="0.75" bottom="0.75" header="0.3" footer="0.3"/>
  <pageSetup paperSize="9" scale="48" fitToHeight="12" orientation="landscape" horizontalDpi="4294967293" verticalDpi="4294967293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22350C-0ED8-294D-B91D-87787A8A01DE}">
  <dimension ref="A1:N13"/>
  <sheetViews>
    <sheetView zoomScale="130" zoomScaleNormal="130" workbookViewId="0">
      <pane ySplit="2" topLeftCell="A3" activePane="bottomLeft" state="frozen"/>
      <selection activeCell="E1" sqref="E1"/>
      <selection pane="bottomLeft" activeCell="A14" sqref="A14"/>
    </sheetView>
  </sheetViews>
  <sheetFormatPr baseColWidth="10" defaultColWidth="9.1640625" defaultRowHeight="18" customHeight="1" outlineLevelCol="1" x14ac:dyDescent="0.2"/>
  <cols>
    <col min="2" max="2" width="25" customWidth="1"/>
    <col min="3" max="3" width="10.83203125" customWidth="1"/>
    <col min="4" max="4" width="3.6640625" customWidth="1"/>
    <col min="6" max="6" width="66.5" hidden="1" customWidth="1" outlineLevel="1"/>
    <col min="7" max="7" width="8.6640625" customWidth="1" collapsed="1"/>
    <col min="8" max="8" width="36.1640625" bestFit="1" customWidth="1"/>
    <col min="9" max="9" width="14.6640625" style="11" customWidth="1"/>
    <col min="10" max="10" width="11.6640625" style="11" customWidth="1"/>
    <col min="11" max="11" width="25.6640625" customWidth="1"/>
    <col min="12" max="12" width="30" customWidth="1"/>
    <col min="13" max="13" width="9.1640625" style="12"/>
    <col min="14" max="14" width="29.1640625" customWidth="1"/>
    <col min="15" max="15" width="10.5" bestFit="1" customWidth="1"/>
  </cols>
  <sheetData>
    <row r="1" spans="1:14" ht="18" customHeight="1" x14ac:dyDescent="0.25">
      <c r="C1" s="139" t="s">
        <v>170</v>
      </c>
      <c r="D1" s="139"/>
      <c r="E1" s="139"/>
      <c r="F1" s="139"/>
      <c r="G1" s="139"/>
      <c r="H1" s="139"/>
      <c r="I1" s="139"/>
      <c r="J1" s="139"/>
      <c r="K1" s="139"/>
      <c r="L1" s="139"/>
    </row>
    <row r="2" spans="1:14" ht="18" customHeight="1" x14ac:dyDescent="0.2">
      <c r="A2" s="24" t="s">
        <v>1184</v>
      </c>
      <c r="B2" s="24" t="s">
        <v>1182</v>
      </c>
      <c r="C2" s="25" t="s">
        <v>1183</v>
      </c>
      <c r="D2" s="25" t="s">
        <v>1185</v>
      </c>
      <c r="E2" s="8" t="s">
        <v>1</v>
      </c>
      <c r="F2" s="8" t="s">
        <v>1191</v>
      </c>
      <c r="G2" s="8" t="s">
        <v>20</v>
      </c>
      <c r="H2" s="8" t="s">
        <v>2</v>
      </c>
      <c r="I2" s="26" t="s">
        <v>3</v>
      </c>
      <c r="J2" s="26" t="s">
        <v>4</v>
      </c>
      <c r="K2" s="8" t="s">
        <v>8</v>
      </c>
      <c r="L2" s="8" t="s">
        <v>7</v>
      </c>
      <c r="M2" s="8" t="s">
        <v>1212</v>
      </c>
      <c r="N2" s="8" t="s">
        <v>1213</v>
      </c>
    </row>
    <row r="3" spans="1:14" ht="18" customHeight="1" x14ac:dyDescent="0.2">
      <c r="A3" s="9" t="s">
        <v>1155</v>
      </c>
      <c r="B3" s="9" t="s">
        <v>1135</v>
      </c>
      <c r="C3" t="s">
        <v>0</v>
      </c>
      <c r="D3" t="s">
        <v>1186</v>
      </c>
      <c r="E3" t="s">
        <v>1136</v>
      </c>
      <c r="H3" t="s">
        <v>1137</v>
      </c>
      <c r="I3" s="11">
        <v>1985</v>
      </c>
      <c r="J3" s="10">
        <v>44727</v>
      </c>
      <c r="K3" t="s">
        <v>1138</v>
      </c>
      <c r="L3" t="s">
        <v>1139</v>
      </c>
    </row>
    <row r="4" spans="1:14" ht="18" customHeight="1" x14ac:dyDescent="0.2">
      <c r="A4" s="9" t="s">
        <v>1155</v>
      </c>
      <c r="B4" s="9" t="s">
        <v>1135</v>
      </c>
      <c r="C4" t="s">
        <v>5</v>
      </c>
      <c r="D4" t="s">
        <v>1186</v>
      </c>
      <c r="E4" t="s">
        <v>1140</v>
      </c>
      <c r="H4" t="s">
        <v>1141</v>
      </c>
      <c r="I4" s="11">
        <v>1977</v>
      </c>
      <c r="J4" s="10">
        <v>44727</v>
      </c>
      <c r="K4" t="s">
        <v>1138</v>
      </c>
      <c r="L4" t="s">
        <v>1139</v>
      </c>
    </row>
    <row r="5" spans="1:14" ht="18" customHeight="1" x14ac:dyDescent="0.2">
      <c r="A5" s="9" t="s">
        <v>1155</v>
      </c>
      <c r="B5" s="9" t="s">
        <v>1135</v>
      </c>
      <c r="C5" t="s">
        <v>9</v>
      </c>
      <c r="D5" t="s">
        <v>1186</v>
      </c>
      <c r="E5" t="s">
        <v>1142</v>
      </c>
      <c r="H5" t="s">
        <v>1143</v>
      </c>
      <c r="I5" s="11">
        <v>1968</v>
      </c>
      <c r="J5" s="10">
        <v>44727</v>
      </c>
      <c r="K5" t="s">
        <v>1138</v>
      </c>
      <c r="L5" t="s">
        <v>1139</v>
      </c>
    </row>
    <row r="6" spans="1:14" ht="18" customHeight="1" x14ac:dyDescent="0.2">
      <c r="A6" s="16" t="s">
        <v>1155</v>
      </c>
      <c r="B6" s="16" t="s">
        <v>1135</v>
      </c>
      <c r="C6" s="17" t="s">
        <v>9</v>
      </c>
      <c r="D6" s="17" t="s">
        <v>1186</v>
      </c>
      <c r="E6" s="17" t="s">
        <v>1144</v>
      </c>
      <c r="F6" s="22"/>
      <c r="G6" s="17"/>
      <c r="H6" s="17" t="s">
        <v>1145</v>
      </c>
      <c r="I6" s="18"/>
      <c r="J6" s="21">
        <v>45732</v>
      </c>
      <c r="K6" s="17" t="s">
        <v>1146</v>
      </c>
      <c r="L6" s="17" t="s">
        <v>1133</v>
      </c>
      <c r="N6" t="s">
        <v>1219</v>
      </c>
    </row>
    <row r="7" spans="1:14" ht="18" customHeight="1" x14ac:dyDescent="0.2">
      <c r="A7" s="16" t="s">
        <v>1155</v>
      </c>
      <c r="B7" s="16" t="s">
        <v>1135</v>
      </c>
      <c r="C7" s="17" t="s">
        <v>10</v>
      </c>
      <c r="D7" s="17" t="s">
        <v>1186</v>
      </c>
      <c r="E7" s="17" t="s">
        <v>1147</v>
      </c>
      <c r="F7" s="22"/>
      <c r="G7" s="17"/>
      <c r="H7" s="17" t="s">
        <v>1149</v>
      </c>
      <c r="I7" s="18"/>
      <c r="J7" s="21">
        <v>45732</v>
      </c>
      <c r="K7" s="17" t="s">
        <v>1146</v>
      </c>
      <c r="L7" s="17" t="s">
        <v>1133</v>
      </c>
      <c r="N7" t="s">
        <v>1219</v>
      </c>
    </row>
    <row r="8" spans="1:14" ht="18" customHeight="1" x14ac:dyDescent="0.2">
      <c r="A8" s="16" t="s">
        <v>1155</v>
      </c>
      <c r="B8" s="16" t="s">
        <v>1135</v>
      </c>
      <c r="C8" s="17" t="s">
        <v>12</v>
      </c>
      <c r="D8" s="17" t="s">
        <v>1186</v>
      </c>
      <c r="E8" s="17" t="s">
        <v>1192</v>
      </c>
      <c r="F8" s="22"/>
      <c r="G8" s="17"/>
      <c r="H8" s="17" t="s">
        <v>1150</v>
      </c>
      <c r="I8" s="18"/>
      <c r="J8" s="21">
        <v>45752</v>
      </c>
      <c r="K8" s="17" t="s">
        <v>173</v>
      </c>
      <c r="L8" s="20" t="s">
        <v>300</v>
      </c>
      <c r="N8" t="s">
        <v>1219</v>
      </c>
    </row>
    <row r="9" spans="1:14" ht="18" customHeight="1" x14ac:dyDescent="0.2">
      <c r="A9" s="16" t="s">
        <v>1155</v>
      </c>
      <c r="B9" s="16" t="s">
        <v>1135</v>
      </c>
      <c r="C9" s="17" t="s">
        <v>14</v>
      </c>
      <c r="D9" s="17" t="s">
        <v>1186</v>
      </c>
      <c r="E9" s="17" t="s">
        <v>1193</v>
      </c>
      <c r="F9" s="22"/>
      <c r="G9" s="17"/>
      <c r="H9" s="17" t="s">
        <v>1195</v>
      </c>
      <c r="I9" s="18"/>
      <c r="J9" s="21">
        <v>45752</v>
      </c>
      <c r="K9" s="17" t="s">
        <v>173</v>
      </c>
      <c r="L9" s="20" t="s">
        <v>300</v>
      </c>
      <c r="N9" t="s">
        <v>1219</v>
      </c>
    </row>
    <row r="10" spans="1:14" ht="18" customHeight="1" x14ac:dyDescent="0.2">
      <c r="A10" s="40" t="s">
        <v>1155</v>
      </c>
      <c r="B10" s="40" t="s">
        <v>1135</v>
      </c>
      <c r="C10" s="41" t="s">
        <v>16</v>
      </c>
      <c r="D10" s="41" t="s">
        <v>1186</v>
      </c>
      <c r="E10" s="41" t="s">
        <v>1194</v>
      </c>
      <c r="F10" s="22"/>
      <c r="G10" s="41"/>
      <c r="H10" s="41" t="s">
        <v>1196</v>
      </c>
      <c r="I10" s="42">
        <v>12320</v>
      </c>
      <c r="J10" s="42">
        <v>45752</v>
      </c>
      <c r="K10" s="41" t="s">
        <v>173</v>
      </c>
      <c r="L10" s="41" t="s">
        <v>1197</v>
      </c>
      <c r="M10" s="43"/>
      <c r="N10" s="41"/>
    </row>
    <row r="11" spans="1:14" ht="18" customHeight="1" x14ac:dyDescent="0.2">
      <c r="A11" s="16" t="s">
        <v>1202</v>
      </c>
      <c r="B11" s="16" t="s">
        <v>1135</v>
      </c>
      <c r="C11" s="20" t="s">
        <v>278</v>
      </c>
      <c r="D11" s="17" t="s">
        <v>1186</v>
      </c>
      <c r="E11" s="20" t="s">
        <v>1200</v>
      </c>
      <c r="F11" s="5"/>
      <c r="G11" s="20"/>
      <c r="H11" s="20" t="s">
        <v>1201</v>
      </c>
      <c r="I11" s="36"/>
      <c r="J11" s="35">
        <v>45752</v>
      </c>
      <c r="K11" s="20" t="s">
        <v>173</v>
      </c>
      <c r="L11" s="20" t="s">
        <v>300</v>
      </c>
      <c r="M11"/>
      <c r="N11" t="s">
        <v>1219</v>
      </c>
    </row>
    <row r="12" spans="1:14" ht="18" customHeight="1" x14ac:dyDescent="0.2">
      <c r="A12" s="16" t="s">
        <v>1155</v>
      </c>
      <c r="B12" s="16" t="s">
        <v>199</v>
      </c>
      <c r="C12" s="17" t="s">
        <v>13</v>
      </c>
      <c r="D12" s="17" t="s">
        <v>1186</v>
      </c>
      <c r="E12" s="17" t="s">
        <v>1215</v>
      </c>
      <c r="G12" s="17"/>
      <c r="H12" s="17" t="s">
        <v>1216</v>
      </c>
      <c r="I12" s="21"/>
      <c r="J12" s="21">
        <v>45753</v>
      </c>
      <c r="K12" s="17" t="s">
        <v>95</v>
      </c>
      <c r="L12" s="17" t="s">
        <v>795</v>
      </c>
      <c r="M12" s="12">
        <f>DATEDIF(I12,J12,"Y")</f>
        <v>125</v>
      </c>
      <c r="N12" t="s">
        <v>1217</v>
      </c>
    </row>
    <row r="13" spans="1:14" ht="18" customHeight="1" x14ac:dyDescent="0.2">
      <c r="A13" s="37" t="s">
        <v>1202</v>
      </c>
      <c r="B13" s="37" t="s">
        <v>1157</v>
      </c>
      <c r="C13" s="38" t="s">
        <v>280</v>
      </c>
      <c r="D13" s="27" t="s">
        <v>1186</v>
      </c>
      <c r="E13" s="38" t="s">
        <v>1220</v>
      </c>
      <c r="F13" s="1"/>
      <c r="G13" s="38"/>
      <c r="H13" s="38" t="s">
        <v>1221</v>
      </c>
      <c r="I13" s="39">
        <v>23863</v>
      </c>
      <c r="J13" s="39">
        <v>45752</v>
      </c>
      <c r="K13" s="38" t="s">
        <v>173</v>
      </c>
      <c r="L13" s="38" t="s">
        <v>300</v>
      </c>
      <c r="M13" s="12">
        <f>DATEDIF(I13,J13,"Y")</f>
        <v>59</v>
      </c>
      <c r="N13" s="17" t="s">
        <v>1233</v>
      </c>
    </row>
  </sheetData>
  <autoFilter ref="A2:N11" xr:uid="{00000000-0001-0000-0000-000000000000}"/>
  <mergeCells count="1">
    <mergeCell ref="C1:L1"/>
  </mergeCells>
  <pageMargins left="0.7" right="0.7" top="0.75" bottom="0.75" header="0.3" footer="0.3"/>
  <pageSetup paperSize="9" orientation="portrait" horizontalDpi="4294967293" vertic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BB76A9-5073-A04F-8AC7-3C3DCEE66F07}">
  <dimension ref="A1:Q76"/>
  <sheetViews>
    <sheetView topLeftCell="A49" zoomScale="130" zoomScaleNormal="130" workbookViewId="0">
      <selection activeCell="A76" sqref="A76:O76"/>
    </sheetView>
  </sheetViews>
  <sheetFormatPr baseColWidth="10" defaultColWidth="10.83203125" defaultRowHeight="15" x14ac:dyDescent="0.2"/>
  <cols>
    <col min="2" max="2" width="13.5" bestFit="1" customWidth="1"/>
    <col min="8" max="8" width="38.6640625" bestFit="1" customWidth="1"/>
    <col min="9" max="9" width="44.5" customWidth="1"/>
    <col min="10" max="11" width="11.6640625" customWidth="1"/>
    <col min="12" max="12" width="31" customWidth="1"/>
    <col min="13" max="13" width="26" customWidth="1"/>
    <col min="14" max="14" width="14.5" style="29" bestFit="1" customWidth="1"/>
  </cols>
  <sheetData>
    <row r="1" spans="1:15" ht="19" x14ac:dyDescent="0.25">
      <c r="A1" s="139" t="s">
        <v>1189</v>
      </c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</row>
    <row r="2" spans="1:15" x14ac:dyDescent="0.2">
      <c r="F2" s="2" t="s">
        <v>1</v>
      </c>
      <c r="G2" s="2"/>
      <c r="H2" s="2"/>
      <c r="I2" s="2" t="s">
        <v>2</v>
      </c>
      <c r="J2" s="2" t="s">
        <v>3</v>
      </c>
      <c r="K2" s="2" t="s">
        <v>4</v>
      </c>
      <c r="L2" s="2" t="s">
        <v>8</v>
      </c>
      <c r="M2" s="2" t="s">
        <v>7</v>
      </c>
      <c r="N2" s="28" t="s">
        <v>1190</v>
      </c>
    </row>
    <row r="3" spans="1:15" x14ac:dyDescent="0.2">
      <c r="A3" s="9" t="s">
        <v>1155</v>
      </c>
      <c r="B3" s="3" t="s">
        <v>146</v>
      </c>
      <c r="C3" t="s">
        <v>9</v>
      </c>
      <c r="F3" t="s">
        <v>159</v>
      </c>
      <c r="I3" t="s">
        <v>160</v>
      </c>
      <c r="J3" s="13">
        <v>23743</v>
      </c>
      <c r="K3" s="12">
        <v>2015</v>
      </c>
      <c r="L3" t="s">
        <v>106</v>
      </c>
      <c r="N3" s="29">
        <v>45738</v>
      </c>
    </row>
    <row r="4" spans="1:15" x14ac:dyDescent="0.2">
      <c r="A4" s="9" t="s">
        <v>1155</v>
      </c>
      <c r="B4" s="3" t="s">
        <v>184</v>
      </c>
      <c r="C4" t="s">
        <v>11</v>
      </c>
      <c r="F4" t="s">
        <v>196</v>
      </c>
      <c r="I4" t="s">
        <v>197</v>
      </c>
      <c r="J4" s="12">
        <v>1936</v>
      </c>
      <c r="K4" s="12">
        <v>1996</v>
      </c>
      <c r="L4" t="s">
        <v>44</v>
      </c>
      <c r="N4" s="29">
        <v>45725</v>
      </c>
    </row>
    <row r="5" spans="1:15" x14ac:dyDescent="0.2">
      <c r="A5" s="9" t="s">
        <v>1155</v>
      </c>
      <c r="B5" s="6" t="s">
        <v>291</v>
      </c>
      <c r="C5" s="7" t="s">
        <v>451</v>
      </c>
      <c r="D5" s="7"/>
      <c r="E5" s="7"/>
      <c r="F5" s="7" t="s">
        <v>1106</v>
      </c>
      <c r="G5" s="7"/>
      <c r="H5" s="7"/>
      <c r="I5" s="7" t="s">
        <v>1107</v>
      </c>
      <c r="J5" s="14">
        <v>16283</v>
      </c>
      <c r="K5" s="15">
        <v>45563</v>
      </c>
      <c r="L5" s="1" t="s">
        <v>1101</v>
      </c>
      <c r="M5" s="1" t="s">
        <v>15</v>
      </c>
      <c r="N5" s="29">
        <v>45732</v>
      </c>
    </row>
    <row r="6" spans="1:15" x14ac:dyDescent="0.2">
      <c r="A6" s="16" t="s">
        <v>1155</v>
      </c>
      <c r="B6" s="16" t="s">
        <v>1135</v>
      </c>
      <c r="C6" s="17" t="s">
        <v>12</v>
      </c>
      <c r="D6" s="17"/>
      <c r="E6" s="17"/>
      <c r="F6" s="17" t="s">
        <v>1148</v>
      </c>
      <c r="G6" s="17"/>
      <c r="H6" s="17"/>
      <c r="I6" s="17" t="s">
        <v>1150</v>
      </c>
      <c r="J6" s="17"/>
      <c r="K6" s="21">
        <v>45732</v>
      </c>
      <c r="L6" s="17" t="s">
        <v>1146</v>
      </c>
      <c r="M6" s="17" t="s">
        <v>1133</v>
      </c>
      <c r="N6" s="29">
        <v>45752</v>
      </c>
    </row>
    <row r="7" spans="1:15" x14ac:dyDescent="0.2">
      <c r="A7" s="9" t="s">
        <v>1155</v>
      </c>
      <c r="B7" s="9" t="s">
        <v>1163</v>
      </c>
      <c r="C7" t="s">
        <v>13</v>
      </c>
      <c r="F7" t="s">
        <v>180</v>
      </c>
      <c r="I7" t="s">
        <v>375</v>
      </c>
      <c r="J7" s="10">
        <v>16942</v>
      </c>
      <c r="K7" s="10">
        <v>42644</v>
      </c>
      <c r="L7" t="s">
        <v>175</v>
      </c>
      <c r="M7" t="s">
        <v>176</v>
      </c>
      <c r="N7" s="29">
        <v>45752</v>
      </c>
    </row>
    <row r="8" spans="1:15" x14ac:dyDescent="0.2">
      <c r="A8" s="9" t="s">
        <v>1155</v>
      </c>
      <c r="B8" s="9" t="s">
        <v>199</v>
      </c>
      <c r="C8" t="s">
        <v>11</v>
      </c>
      <c r="E8" t="s">
        <v>1186</v>
      </c>
      <c r="F8" t="s">
        <v>340</v>
      </c>
      <c r="I8" t="s">
        <v>341</v>
      </c>
      <c r="J8" s="10">
        <v>13268</v>
      </c>
      <c r="K8" s="10">
        <v>35638</v>
      </c>
      <c r="L8" t="s">
        <v>211</v>
      </c>
      <c r="M8" t="s">
        <v>85</v>
      </c>
      <c r="N8" s="29">
        <v>45752</v>
      </c>
    </row>
    <row r="9" spans="1:15" x14ac:dyDescent="0.2">
      <c r="A9" s="16" t="s">
        <v>1155</v>
      </c>
      <c r="B9" s="16" t="s">
        <v>184</v>
      </c>
      <c r="C9" s="17" t="s">
        <v>12</v>
      </c>
      <c r="D9" s="17"/>
      <c r="E9" s="17" t="s">
        <v>1186</v>
      </c>
      <c r="F9" s="17" t="s">
        <v>993</v>
      </c>
      <c r="G9" s="17"/>
      <c r="H9" s="17"/>
      <c r="I9" s="17" t="s">
        <v>994</v>
      </c>
      <c r="J9" s="18">
        <v>1956</v>
      </c>
      <c r="K9" s="19">
        <v>45214</v>
      </c>
      <c r="L9" s="20" t="s">
        <v>95</v>
      </c>
      <c r="M9" s="20" t="s">
        <v>996</v>
      </c>
      <c r="N9" s="29">
        <v>45753</v>
      </c>
    </row>
    <row r="10" spans="1:15" x14ac:dyDescent="0.2">
      <c r="A10" s="9" t="s">
        <v>1155</v>
      </c>
      <c r="B10" s="9" t="s">
        <v>199</v>
      </c>
      <c r="C10" t="s">
        <v>12</v>
      </c>
      <c r="E10" t="s">
        <v>1186</v>
      </c>
      <c r="F10" t="s">
        <v>927</v>
      </c>
      <c r="I10" t="s">
        <v>928</v>
      </c>
      <c r="J10" s="10">
        <v>20831</v>
      </c>
      <c r="K10" s="10">
        <v>44878</v>
      </c>
      <c r="L10" t="s">
        <v>44</v>
      </c>
      <c r="M10" t="s">
        <v>876</v>
      </c>
    </row>
    <row r="11" spans="1:15" x14ac:dyDescent="0.2">
      <c r="A11" s="30" t="s">
        <v>1202</v>
      </c>
      <c r="B11" s="30" t="s">
        <v>199</v>
      </c>
      <c r="C11" s="32" t="s">
        <v>279</v>
      </c>
      <c r="D11" s="32"/>
      <c r="E11" s="31" t="s">
        <v>1186</v>
      </c>
      <c r="F11" s="32" t="s">
        <v>1128</v>
      </c>
      <c r="G11" s="32"/>
      <c r="H11" s="32"/>
      <c r="I11" s="32" t="s">
        <v>1036</v>
      </c>
      <c r="J11" s="33">
        <v>25332</v>
      </c>
      <c r="K11" s="34">
        <v>45606</v>
      </c>
      <c r="L11" s="32" t="s">
        <v>44</v>
      </c>
      <c r="M11" s="32" t="s">
        <v>876</v>
      </c>
    </row>
    <row r="12" spans="1:15" x14ac:dyDescent="0.2">
      <c r="A12" s="30" t="s">
        <v>1202</v>
      </c>
      <c r="B12" s="30" t="s">
        <v>199</v>
      </c>
      <c r="C12" s="32" t="s">
        <v>281</v>
      </c>
      <c r="D12" s="32"/>
      <c r="E12" s="31" t="s">
        <v>1186</v>
      </c>
      <c r="F12" s="32" t="s">
        <v>1118</v>
      </c>
      <c r="G12" s="32"/>
      <c r="H12" s="32"/>
      <c r="I12" s="32" t="s">
        <v>763</v>
      </c>
      <c r="J12" s="33">
        <v>19869</v>
      </c>
      <c r="K12" s="34">
        <v>45606</v>
      </c>
      <c r="L12" s="32" t="s">
        <v>44</v>
      </c>
      <c r="M12" s="32" t="s">
        <v>876</v>
      </c>
    </row>
    <row r="13" spans="1:15" x14ac:dyDescent="0.2">
      <c r="A13" s="9" t="s">
        <v>1155</v>
      </c>
      <c r="B13" s="9" t="s">
        <v>1160</v>
      </c>
      <c r="C13" t="s">
        <v>13</v>
      </c>
      <c r="E13" t="s">
        <v>1186</v>
      </c>
      <c r="F13" t="s">
        <v>137</v>
      </c>
      <c r="I13" t="s">
        <v>94</v>
      </c>
      <c r="J13" s="10">
        <v>16073</v>
      </c>
      <c r="K13" s="11">
        <v>2016</v>
      </c>
      <c r="L13" t="s">
        <v>127</v>
      </c>
      <c r="M13" t="s">
        <v>85</v>
      </c>
    </row>
    <row r="14" spans="1:15" x14ac:dyDescent="0.2">
      <c r="A14" s="9" t="s">
        <v>1155</v>
      </c>
      <c r="B14" s="9" t="s">
        <v>1158</v>
      </c>
      <c r="C14" t="s">
        <v>10</v>
      </c>
      <c r="E14" t="s">
        <v>1186</v>
      </c>
      <c r="F14" t="s">
        <v>1075</v>
      </c>
      <c r="I14" t="s">
        <v>39</v>
      </c>
      <c r="J14" s="10">
        <v>25005</v>
      </c>
      <c r="K14" s="10">
        <v>45479</v>
      </c>
      <c r="L14" t="s">
        <v>1026</v>
      </c>
      <c r="M14" t="s">
        <v>40</v>
      </c>
      <c r="N14" s="12"/>
    </row>
    <row r="15" spans="1:15" x14ac:dyDescent="0.2">
      <c r="A15" s="9" t="s">
        <v>1155</v>
      </c>
      <c r="B15" s="9" t="s">
        <v>1162</v>
      </c>
      <c r="C15" t="s">
        <v>13</v>
      </c>
      <c r="E15" t="s">
        <v>1186</v>
      </c>
      <c r="F15" t="s">
        <v>765</v>
      </c>
      <c r="I15" t="s">
        <v>124</v>
      </c>
      <c r="J15" s="10">
        <v>5706</v>
      </c>
      <c r="K15" s="11">
        <v>1986</v>
      </c>
      <c r="L15" t="s">
        <v>766</v>
      </c>
      <c r="M15" t="s">
        <v>79</v>
      </c>
      <c r="N15" s="12"/>
    </row>
    <row r="16" spans="1:15" x14ac:dyDescent="0.2">
      <c r="A16" s="9" t="s">
        <v>1155</v>
      </c>
      <c r="B16" s="9" t="s">
        <v>1176</v>
      </c>
      <c r="C16" t="s">
        <v>11</v>
      </c>
      <c r="E16" t="s">
        <v>1186</v>
      </c>
      <c r="F16" t="s">
        <v>384</v>
      </c>
      <c r="I16" t="s">
        <v>230</v>
      </c>
      <c r="J16" s="10">
        <v>19769</v>
      </c>
      <c r="K16" s="11">
        <v>2014</v>
      </c>
      <c r="L16" t="s">
        <v>55</v>
      </c>
      <c r="M16" s="1"/>
      <c r="O16" s="12"/>
    </row>
    <row r="17" spans="1:17" x14ac:dyDescent="0.2">
      <c r="A17" s="9" t="s">
        <v>1202</v>
      </c>
      <c r="B17" s="9" t="s">
        <v>1177</v>
      </c>
      <c r="C17" s="1" t="s">
        <v>277</v>
      </c>
      <c r="D17" s="1"/>
      <c r="E17" t="s">
        <v>1186</v>
      </c>
      <c r="F17" s="4" t="s">
        <v>384</v>
      </c>
      <c r="G17" s="4"/>
      <c r="H17" s="4"/>
      <c r="I17" s="4" t="s">
        <v>662</v>
      </c>
      <c r="J17" s="15">
        <v>26970</v>
      </c>
      <c r="K17" s="23">
        <v>2016</v>
      </c>
      <c r="L17" s="4" t="s">
        <v>66</v>
      </c>
      <c r="M17" s="4" t="s">
        <v>40</v>
      </c>
    </row>
    <row r="18" spans="1:17" x14ac:dyDescent="0.2">
      <c r="A18" s="9" t="s">
        <v>1202</v>
      </c>
      <c r="B18" s="9" t="s">
        <v>1162</v>
      </c>
      <c r="C18" s="1" t="s">
        <v>279</v>
      </c>
      <c r="D18" s="1"/>
      <c r="E18" t="s">
        <v>1186</v>
      </c>
      <c r="F18" s="1" t="s">
        <v>1093</v>
      </c>
      <c r="G18" s="1"/>
      <c r="H18" s="1"/>
      <c r="I18" s="1" t="s">
        <v>761</v>
      </c>
      <c r="J18" s="15">
        <v>25334</v>
      </c>
      <c r="K18" s="15">
        <v>45518</v>
      </c>
      <c r="L18" s="1" t="s">
        <v>1091</v>
      </c>
      <c r="M18" s="1" t="s">
        <v>85</v>
      </c>
    </row>
    <row r="19" spans="1:17" x14ac:dyDescent="0.2">
      <c r="A19" s="9" t="s">
        <v>1155</v>
      </c>
      <c r="B19" s="9" t="s">
        <v>1160</v>
      </c>
      <c r="C19" s="12" t="s">
        <v>1263</v>
      </c>
      <c r="D19" s="12"/>
      <c r="E19" s="11" t="s">
        <v>1186</v>
      </c>
      <c r="F19" s="52" t="s">
        <v>1222</v>
      </c>
      <c r="G19" s="52"/>
      <c r="I19" t="s">
        <v>162</v>
      </c>
      <c r="J19" s="10">
        <v>20038</v>
      </c>
      <c r="K19" s="10">
        <v>45780</v>
      </c>
      <c r="L19" t="s">
        <v>1223</v>
      </c>
      <c r="M19" t="s">
        <v>40</v>
      </c>
      <c r="P19" s="12"/>
    </row>
    <row r="20" spans="1:17" x14ac:dyDescent="0.2">
      <c r="A20" s="40" t="s">
        <v>1155</v>
      </c>
      <c r="B20" s="40" t="s">
        <v>1162</v>
      </c>
      <c r="C20" s="43" t="s">
        <v>1263</v>
      </c>
      <c r="D20" s="43"/>
      <c r="E20" s="50" t="s">
        <v>1186</v>
      </c>
      <c r="F20" s="53" t="s">
        <v>1226</v>
      </c>
      <c r="G20" s="53"/>
      <c r="I20" s="41" t="s">
        <v>1199</v>
      </c>
      <c r="J20" s="42">
        <v>20038</v>
      </c>
      <c r="K20" s="42">
        <v>45781</v>
      </c>
      <c r="L20" s="41" t="s">
        <v>1223</v>
      </c>
      <c r="M20" s="41" t="s">
        <v>40</v>
      </c>
      <c r="N20" s="29">
        <v>45809</v>
      </c>
      <c r="P20" s="43"/>
      <c r="Q20" s="41"/>
    </row>
    <row r="21" spans="1:17" x14ac:dyDescent="0.2">
      <c r="A21" s="9" t="s">
        <v>1202</v>
      </c>
      <c r="B21" t="s">
        <v>312</v>
      </c>
      <c r="C21" s="23" t="s">
        <v>1264</v>
      </c>
      <c r="D21" s="23"/>
      <c r="E21" s="11" t="s">
        <v>1186</v>
      </c>
      <c r="F21" s="57" t="s">
        <v>1232</v>
      </c>
      <c r="G21" s="57"/>
      <c r="H21" s="1"/>
      <c r="I21" s="1" t="s">
        <v>963</v>
      </c>
      <c r="J21" s="15">
        <v>17624</v>
      </c>
      <c r="K21" s="15">
        <v>45780</v>
      </c>
      <c r="L21" s="1" t="s">
        <v>1223</v>
      </c>
      <c r="M21" s="1" t="s">
        <v>40</v>
      </c>
      <c r="N21" s="29">
        <v>45809</v>
      </c>
    </row>
    <row r="22" spans="1:17" x14ac:dyDescent="0.2">
      <c r="A22" s="9" t="s">
        <v>1202</v>
      </c>
      <c r="B22" t="s">
        <v>291</v>
      </c>
      <c r="C22" s="23" t="s">
        <v>1259</v>
      </c>
      <c r="D22" s="23"/>
      <c r="E22" s="11" t="s">
        <v>1186</v>
      </c>
      <c r="F22" s="57" t="s">
        <v>854</v>
      </c>
      <c r="G22" s="57"/>
      <c r="H22" s="1"/>
      <c r="I22" s="1" t="s">
        <v>758</v>
      </c>
      <c r="J22" s="15">
        <v>25746</v>
      </c>
      <c r="K22" s="15">
        <v>44808</v>
      </c>
      <c r="L22" s="1" t="s">
        <v>44</v>
      </c>
      <c r="M22" s="1" t="s">
        <v>853</v>
      </c>
      <c r="N22"/>
    </row>
    <row r="23" spans="1:17" x14ac:dyDescent="0.2">
      <c r="A23" s="9" t="s">
        <v>1202</v>
      </c>
      <c r="B23" t="s">
        <v>423</v>
      </c>
      <c r="C23" s="23" t="s">
        <v>1259</v>
      </c>
      <c r="D23" s="23"/>
      <c r="E23" s="11" t="s">
        <v>1186</v>
      </c>
      <c r="F23" s="57" t="s">
        <v>685</v>
      </c>
      <c r="G23" s="57"/>
      <c r="H23" s="4"/>
      <c r="I23" s="4" t="s">
        <v>689</v>
      </c>
      <c r="J23" s="23">
        <v>1954</v>
      </c>
      <c r="K23" s="23">
        <v>2007</v>
      </c>
      <c r="L23" s="4" t="s">
        <v>44</v>
      </c>
      <c r="O23" s="4"/>
    </row>
    <row r="24" spans="1:17" x14ac:dyDescent="0.2">
      <c r="A24" s="9" t="s">
        <v>1155</v>
      </c>
      <c r="B24" s="9" t="s">
        <v>388</v>
      </c>
      <c r="C24" s="12" t="s">
        <v>1265</v>
      </c>
      <c r="D24" s="12"/>
      <c r="E24" s="11" t="s">
        <v>1186</v>
      </c>
      <c r="F24" s="52" t="s">
        <v>398</v>
      </c>
      <c r="G24" s="52"/>
      <c r="I24" t="s">
        <v>212</v>
      </c>
      <c r="J24" s="10">
        <v>13492</v>
      </c>
      <c r="K24" s="54">
        <v>43001</v>
      </c>
      <c r="L24" s="1" t="s">
        <v>63</v>
      </c>
      <c r="M24" t="s">
        <v>15</v>
      </c>
    </row>
    <row r="25" spans="1:17" x14ac:dyDescent="0.2">
      <c r="A25" s="83" t="s">
        <v>1155</v>
      </c>
      <c r="B25" s="83" t="s">
        <v>1180</v>
      </c>
      <c r="C25" s="85" t="s">
        <v>1259</v>
      </c>
      <c r="D25" s="85"/>
      <c r="E25" s="84" t="s">
        <v>1186</v>
      </c>
      <c r="F25" s="86">
        <v>3230</v>
      </c>
      <c r="G25" s="86"/>
      <c r="H25" s="87" t="s">
        <v>1054</v>
      </c>
      <c r="I25" s="87" t="s">
        <v>318</v>
      </c>
      <c r="J25" s="88">
        <v>25792</v>
      </c>
      <c r="K25" s="88">
        <v>45444</v>
      </c>
      <c r="L25" s="87" t="s">
        <v>23</v>
      </c>
      <c r="M25" s="87" t="s">
        <v>753</v>
      </c>
      <c r="P25" s="85"/>
    </row>
    <row r="26" spans="1:17" x14ac:dyDescent="0.2">
      <c r="A26" s="83" t="s">
        <v>1155</v>
      </c>
      <c r="B26" s="83" t="s">
        <v>1180</v>
      </c>
      <c r="C26" s="85" t="s">
        <v>1260</v>
      </c>
      <c r="D26" s="85"/>
      <c r="E26" s="84" t="s">
        <v>1186</v>
      </c>
      <c r="F26" s="86">
        <v>2789</v>
      </c>
      <c r="G26" s="86"/>
      <c r="H26" s="87" t="s">
        <v>964</v>
      </c>
      <c r="I26" s="87" t="s">
        <v>481</v>
      </c>
      <c r="J26" s="88">
        <v>24705</v>
      </c>
      <c r="K26" s="88">
        <v>45116</v>
      </c>
      <c r="L26" s="87" t="s">
        <v>23</v>
      </c>
      <c r="M26" s="87" t="s">
        <v>40</v>
      </c>
      <c r="P26" s="85"/>
    </row>
    <row r="27" spans="1:17" x14ac:dyDescent="0.2">
      <c r="A27" s="9" t="s">
        <v>1155</v>
      </c>
      <c r="B27" s="9" t="s">
        <v>1157</v>
      </c>
      <c r="C27" s="12" t="s">
        <v>1258</v>
      </c>
      <c r="D27" s="12"/>
      <c r="E27" s="11" t="s">
        <v>1187</v>
      </c>
      <c r="F27" s="52" t="s">
        <v>37</v>
      </c>
      <c r="G27" s="52"/>
      <c r="H27" s="11" t="s">
        <v>36</v>
      </c>
      <c r="I27" t="s">
        <v>34</v>
      </c>
      <c r="J27" s="10">
        <v>25419</v>
      </c>
      <c r="K27" s="10">
        <v>41901</v>
      </c>
      <c r="L27" t="s">
        <v>35</v>
      </c>
      <c r="M27" t="s">
        <v>15</v>
      </c>
      <c r="N27" s="29">
        <v>45809</v>
      </c>
      <c r="P27" s="12"/>
    </row>
    <row r="28" spans="1:17" x14ac:dyDescent="0.2">
      <c r="A28" s="9" t="s">
        <v>1155</v>
      </c>
      <c r="B28" s="9" t="s">
        <v>1156</v>
      </c>
      <c r="C28" s="12" t="s">
        <v>1258</v>
      </c>
      <c r="D28" s="12"/>
      <c r="E28" s="11" t="s">
        <v>1186</v>
      </c>
      <c r="F28" s="52" t="s">
        <v>976</v>
      </c>
      <c r="G28" s="52"/>
      <c r="H28" s="11" t="s">
        <v>977</v>
      </c>
      <c r="I28" t="s">
        <v>83</v>
      </c>
      <c r="J28" s="10">
        <v>28389</v>
      </c>
      <c r="K28" s="10">
        <v>45174</v>
      </c>
      <c r="L28" t="s">
        <v>978</v>
      </c>
      <c r="M28" t="s">
        <v>951</v>
      </c>
      <c r="N28" s="29">
        <v>45808</v>
      </c>
    </row>
    <row r="29" spans="1:17" x14ac:dyDescent="0.2">
      <c r="A29" s="9" t="s">
        <v>1202</v>
      </c>
      <c r="B29" s="9" t="s">
        <v>1161</v>
      </c>
      <c r="C29" s="23" t="s">
        <v>1259</v>
      </c>
      <c r="D29" s="23"/>
      <c r="E29" s="11" t="s">
        <v>1186</v>
      </c>
      <c r="F29" s="57" t="s">
        <v>779</v>
      </c>
      <c r="G29" s="57"/>
      <c r="H29" s="1"/>
      <c r="I29" s="1" t="s">
        <v>761</v>
      </c>
      <c r="J29" s="15">
        <v>25334</v>
      </c>
      <c r="K29" s="15">
        <v>44359</v>
      </c>
      <c r="L29" s="1" t="s">
        <v>746</v>
      </c>
      <c r="M29" s="1" t="s">
        <v>747</v>
      </c>
      <c r="N29" s="29">
        <v>45809</v>
      </c>
    </row>
    <row r="30" spans="1:17" x14ac:dyDescent="0.2">
      <c r="A30" s="9" t="s">
        <v>1155</v>
      </c>
      <c r="B30" s="9" t="s">
        <v>1158</v>
      </c>
      <c r="C30" s="12" t="s">
        <v>1260</v>
      </c>
      <c r="D30" s="9"/>
      <c r="E30" s="11" t="s">
        <v>1186</v>
      </c>
      <c r="F30" s="52" t="s">
        <v>1224</v>
      </c>
      <c r="H30" s="11"/>
      <c r="I30" t="s">
        <v>1225</v>
      </c>
      <c r="J30" s="10">
        <v>25478</v>
      </c>
      <c r="K30" s="10">
        <v>45780</v>
      </c>
      <c r="L30" t="s">
        <v>1223</v>
      </c>
      <c r="M30" t="s">
        <v>40</v>
      </c>
      <c r="N30" s="29">
        <v>45815</v>
      </c>
    </row>
    <row r="31" spans="1:17" x14ac:dyDescent="0.2">
      <c r="A31" s="9" t="s">
        <v>1202</v>
      </c>
      <c r="B31" s="9" t="s">
        <v>1158</v>
      </c>
      <c r="C31" s="23" t="s">
        <v>1260</v>
      </c>
      <c r="D31" s="9"/>
      <c r="E31" s="11" t="s">
        <v>1186</v>
      </c>
      <c r="F31" s="57" t="s">
        <v>565</v>
      </c>
      <c r="G31" s="1"/>
      <c r="H31" s="58"/>
      <c r="I31" s="1" t="s">
        <v>566</v>
      </c>
      <c r="J31" s="23"/>
      <c r="K31" s="23">
        <v>2008</v>
      </c>
      <c r="L31" s="1" t="s">
        <v>567</v>
      </c>
      <c r="M31" s="1" t="s">
        <v>15</v>
      </c>
      <c r="N31" s="29">
        <v>45815</v>
      </c>
    </row>
    <row r="32" spans="1:17" x14ac:dyDescent="0.2">
      <c r="A32" s="9" t="s">
        <v>1202</v>
      </c>
      <c r="B32" s="9" t="s">
        <v>1161</v>
      </c>
      <c r="C32" s="23" t="s">
        <v>1260</v>
      </c>
      <c r="D32" s="9"/>
      <c r="E32" s="11" t="s">
        <v>1186</v>
      </c>
      <c r="F32" s="57" t="s">
        <v>1100</v>
      </c>
      <c r="G32" s="1"/>
      <c r="H32" s="58"/>
      <c r="I32" s="1" t="s">
        <v>761</v>
      </c>
      <c r="J32" s="15">
        <v>25334</v>
      </c>
      <c r="K32" s="15">
        <v>45564</v>
      </c>
      <c r="L32" s="1" t="s">
        <v>1101</v>
      </c>
      <c r="M32" s="1" t="s">
        <v>15</v>
      </c>
      <c r="N32" s="29">
        <v>45815</v>
      </c>
    </row>
    <row r="33" spans="1:14" x14ac:dyDescent="0.2">
      <c r="A33" s="9" t="s">
        <v>1202</v>
      </c>
      <c r="B33" s="9" t="s">
        <v>1159</v>
      </c>
      <c r="C33" s="23" t="s">
        <v>1260</v>
      </c>
      <c r="D33" s="9"/>
      <c r="E33" s="11" t="s">
        <v>1186</v>
      </c>
      <c r="F33" s="57" t="s">
        <v>1095</v>
      </c>
      <c r="G33" s="1"/>
      <c r="H33" s="58"/>
      <c r="I33" t="s">
        <v>1079</v>
      </c>
      <c r="J33" s="13">
        <v>25099</v>
      </c>
      <c r="K33" s="13">
        <v>45519</v>
      </c>
      <c r="L33" s="1" t="s">
        <v>1091</v>
      </c>
      <c r="M33" s="1" t="s">
        <v>85</v>
      </c>
      <c r="N33"/>
    </row>
    <row r="34" spans="1:14" x14ac:dyDescent="0.2">
      <c r="A34" s="9" t="s">
        <v>1155</v>
      </c>
      <c r="B34" s="9" t="s">
        <v>1161</v>
      </c>
      <c r="C34" s="12" t="s">
        <v>1263</v>
      </c>
      <c r="D34" s="9"/>
      <c r="E34" s="11" t="s">
        <v>1186</v>
      </c>
      <c r="F34" s="52" t="s">
        <v>148</v>
      </c>
      <c r="H34" s="11"/>
      <c r="I34" t="s">
        <v>149</v>
      </c>
      <c r="J34" s="10">
        <v>16742</v>
      </c>
      <c r="K34" s="10">
        <v>43597</v>
      </c>
      <c r="L34" t="s">
        <v>49</v>
      </c>
      <c r="M34" t="s">
        <v>50</v>
      </c>
      <c r="N34" s="12"/>
    </row>
    <row r="35" spans="1:14" x14ac:dyDescent="0.2">
      <c r="A35" s="9" t="s">
        <v>1155</v>
      </c>
      <c r="B35" s="9" t="s">
        <v>1156</v>
      </c>
      <c r="C35" s="12" t="s">
        <v>1257</v>
      </c>
      <c r="D35" s="9"/>
      <c r="E35" s="11" t="s">
        <v>1186</v>
      </c>
      <c r="F35" s="52" t="s">
        <v>24</v>
      </c>
      <c r="H35" s="11" t="s">
        <v>26</v>
      </c>
      <c r="I35" t="s">
        <v>6</v>
      </c>
      <c r="J35" s="10">
        <v>28150</v>
      </c>
      <c r="K35" s="10">
        <v>43260</v>
      </c>
      <c r="L35" t="s">
        <v>27</v>
      </c>
      <c r="M35" t="s">
        <v>28</v>
      </c>
      <c r="N35" s="12"/>
    </row>
    <row r="36" spans="1:14" x14ac:dyDescent="0.2">
      <c r="A36" s="9" t="s">
        <v>1155</v>
      </c>
      <c r="B36" s="9" t="s">
        <v>1158</v>
      </c>
      <c r="C36" s="12" t="s">
        <v>1257</v>
      </c>
      <c r="D36" s="9"/>
      <c r="E36" s="11" t="s">
        <v>1186</v>
      </c>
      <c r="F36" s="52" t="s">
        <v>82</v>
      </c>
      <c r="H36" s="11"/>
      <c r="I36" t="s">
        <v>83</v>
      </c>
      <c r="J36" s="10">
        <v>28389</v>
      </c>
      <c r="K36" s="10">
        <v>43355</v>
      </c>
      <c r="L36" t="s">
        <v>84</v>
      </c>
      <c r="M36" t="s">
        <v>85</v>
      </c>
      <c r="N36" s="12"/>
    </row>
    <row r="37" spans="1:14" x14ac:dyDescent="0.2">
      <c r="A37" s="9" t="s">
        <v>1155</v>
      </c>
      <c r="B37" s="9" t="s">
        <v>1176</v>
      </c>
      <c r="C37" s="12" t="s">
        <v>1261</v>
      </c>
      <c r="D37" s="9"/>
      <c r="E37" s="11" t="s">
        <v>1186</v>
      </c>
      <c r="F37" s="52" t="s">
        <v>1229</v>
      </c>
      <c r="H37" s="11"/>
      <c r="I37" t="s">
        <v>377</v>
      </c>
      <c r="J37" s="10">
        <v>23808</v>
      </c>
      <c r="K37" s="10">
        <v>45780</v>
      </c>
      <c r="L37" t="s">
        <v>1223</v>
      </c>
      <c r="M37" t="s">
        <v>40</v>
      </c>
      <c r="N37" s="12"/>
    </row>
    <row r="38" spans="1:14" x14ac:dyDescent="0.2">
      <c r="A38" s="9" t="s">
        <v>1202</v>
      </c>
      <c r="B38" s="9" t="s">
        <v>199</v>
      </c>
      <c r="C38" s="23" t="s">
        <v>1261</v>
      </c>
      <c r="D38" s="9"/>
      <c r="E38" s="11" t="s">
        <v>1186</v>
      </c>
      <c r="F38" s="57" t="s">
        <v>793</v>
      </c>
      <c r="G38" s="1"/>
      <c r="H38" s="58"/>
      <c r="I38" s="1" t="s">
        <v>601</v>
      </c>
      <c r="J38" s="15">
        <v>21802</v>
      </c>
      <c r="K38" s="15">
        <v>44465</v>
      </c>
      <c r="L38" s="1" t="s">
        <v>794</v>
      </c>
      <c r="M38" s="1" t="s">
        <v>795</v>
      </c>
      <c r="N38"/>
    </row>
    <row r="39" spans="1:14" x14ac:dyDescent="0.2">
      <c r="A39" s="9" t="s">
        <v>1155</v>
      </c>
      <c r="B39" s="9" t="s">
        <v>1156</v>
      </c>
      <c r="C39" s="12" t="s">
        <v>1257</v>
      </c>
      <c r="D39" s="9"/>
      <c r="E39" s="11" t="s">
        <v>1186</v>
      </c>
      <c r="F39" s="52" t="s">
        <v>1363</v>
      </c>
      <c r="H39" s="11" t="s">
        <v>1358</v>
      </c>
      <c r="I39" s="1" t="s">
        <v>1349</v>
      </c>
      <c r="J39" s="15">
        <v>31211</v>
      </c>
      <c r="K39" s="10">
        <v>45843</v>
      </c>
      <c r="L39" t="s">
        <v>95</v>
      </c>
      <c r="M39" t="s">
        <v>1060</v>
      </c>
      <c r="N39" s="12"/>
    </row>
    <row r="40" spans="1:14" x14ac:dyDescent="0.2">
      <c r="A40" s="9" t="s">
        <v>1202</v>
      </c>
      <c r="B40" s="9" t="s">
        <v>1156</v>
      </c>
      <c r="C40" s="23" t="s">
        <v>1260</v>
      </c>
      <c r="D40" s="9"/>
      <c r="E40" s="11" t="s">
        <v>1186</v>
      </c>
      <c r="F40" s="57" t="s">
        <v>1051</v>
      </c>
      <c r="G40" s="1"/>
      <c r="H40" s="58"/>
      <c r="I40" s="1" t="s">
        <v>538</v>
      </c>
      <c r="J40" s="15">
        <v>24543</v>
      </c>
      <c r="K40" s="15">
        <v>45444</v>
      </c>
      <c r="L40" s="1" t="s">
        <v>23</v>
      </c>
      <c r="M40" s="1" t="s">
        <v>753</v>
      </c>
      <c r="N40"/>
    </row>
    <row r="41" spans="1:14" x14ac:dyDescent="0.2">
      <c r="A41" s="9" t="s">
        <v>1155</v>
      </c>
      <c r="B41" s="9" t="s">
        <v>199</v>
      </c>
      <c r="C41" s="12" t="s">
        <v>1261</v>
      </c>
      <c r="D41" s="9"/>
      <c r="E41" s="11" t="s">
        <v>1186</v>
      </c>
      <c r="F41" s="52" t="s">
        <v>1207</v>
      </c>
      <c r="G41" s="11"/>
      <c r="I41" t="s">
        <v>1208</v>
      </c>
      <c r="J41" s="10">
        <v>23726</v>
      </c>
      <c r="K41" s="10">
        <v>45753</v>
      </c>
      <c r="L41" t="s">
        <v>1209</v>
      </c>
      <c r="M41" t="s">
        <v>795</v>
      </c>
      <c r="N41" s="12">
        <v>60</v>
      </c>
    </row>
    <row r="42" spans="1:14" x14ac:dyDescent="0.2">
      <c r="A42" s="9" t="s">
        <v>1155</v>
      </c>
      <c r="B42" s="9" t="s">
        <v>1156</v>
      </c>
      <c r="C42" s="12" t="s">
        <v>1268</v>
      </c>
      <c r="D42" s="9"/>
      <c r="E42" s="11" t="s">
        <v>1186</v>
      </c>
      <c r="F42" s="52" t="s">
        <v>1097</v>
      </c>
      <c r="H42" s="11" t="s">
        <v>1098</v>
      </c>
      <c r="I42" t="s">
        <v>59</v>
      </c>
      <c r="J42" s="10">
        <v>10618</v>
      </c>
      <c r="K42" s="10">
        <v>45524</v>
      </c>
      <c r="L42" s="1" t="s">
        <v>1091</v>
      </c>
      <c r="M42" s="1" t="s">
        <v>85</v>
      </c>
      <c r="N42" s="12"/>
    </row>
    <row r="43" spans="1:14" x14ac:dyDescent="0.2">
      <c r="A43" s="9" t="s">
        <v>1155</v>
      </c>
      <c r="B43" s="9" t="s">
        <v>1162</v>
      </c>
      <c r="C43" s="12" t="s">
        <v>1267</v>
      </c>
      <c r="D43" s="9"/>
      <c r="E43" s="11" t="s">
        <v>1186</v>
      </c>
      <c r="F43" s="52" t="s">
        <v>1072</v>
      </c>
      <c r="G43" s="11"/>
      <c r="I43" t="s">
        <v>100</v>
      </c>
      <c r="J43" s="10">
        <v>12320</v>
      </c>
      <c r="K43" s="10">
        <v>45480</v>
      </c>
      <c r="L43" t="s">
        <v>1026</v>
      </c>
      <c r="M43" t="s">
        <v>40</v>
      </c>
      <c r="N43" s="12"/>
    </row>
    <row r="44" spans="1:14" x14ac:dyDescent="0.2">
      <c r="A44" s="9" t="s">
        <v>1155</v>
      </c>
      <c r="B44" s="9" t="s">
        <v>1176</v>
      </c>
      <c r="C44" s="12" t="s">
        <v>1263</v>
      </c>
      <c r="D44" s="9"/>
      <c r="E44" s="11" t="s">
        <v>1186</v>
      </c>
      <c r="F44" s="52" t="s">
        <v>1074</v>
      </c>
      <c r="G44" s="11"/>
      <c r="I44" t="s">
        <v>230</v>
      </c>
      <c r="J44" s="10">
        <v>19769</v>
      </c>
      <c r="K44" s="10">
        <v>45479</v>
      </c>
      <c r="L44" t="s">
        <v>1026</v>
      </c>
      <c r="M44" t="s">
        <v>40</v>
      </c>
      <c r="N44" s="12"/>
    </row>
    <row r="45" spans="1:14" x14ac:dyDescent="0.2">
      <c r="A45" s="9" t="s">
        <v>1202</v>
      </c>
      <c r="B45" t="s">
        <v>298</v>
      </c>
      <c r="C45" s="23" t="s">
        <v>1261</v>
      </c>
      <c r="D45" t="s">
        <v>1253</v>
      </c>
      <c r="E45" s="11" t="s">
        <v>1186</v>
      </c>
      <c r="F45" s="57" t="s">
        <v>748</v>
      </c>
      <c r="G45" s="58"/>
      <c r="I45" s="1" t="s">
        <v>1086</v>
      </c>
      <c r="J45" s="15">
        <v>23473</v>
      </c>
      <c r="K45" s="15">
        <v>45564</v>
      </c>
      <c r="L45" s="1" t="s">
        <v>1101</v>
      </c>
      <c r="M45" s="1" t="s">
        <v>15</v>
      </c>
      <c r="N45"/>
    </row>
    <row r="46" spans="1:14" x14ac:dyDescent="0.2">
      <c r="A46" s="9" t="s">
        <v>1202</v>
      </c>
      <c r="B46" s="9" t="s">
        <v>184</v>
      </c>
      <c r="C46" s="23" t="s">
        <v>1260</v>
      </c>
      <c r="D46" s="23"/>
      <c r="E46" s="11" t="s">
        <v>1186</v>
      </c>
      <c r="F46" s="57" t="s">
        <v>1012</v>
      </c>
      <c r="G46" s="1"/>
      <c r="H46" s="58"/>
      <c r="I46" s="1" t="s">
        <v>796</v>
      </c>
      <c r="J46" s="15">
        <v>23773</v>
      </c>
      <c r="K46" s="15">
        <v>45348</v>
      </c>
      <c r="L46" s="1" t="s">
        <v>1013</v>
      </c>
      <c r="M46" s="1" t="s">
        <v>1016</v>
      </c>
      <c r="N46"/>
    </row>
    <row r="47" spans="1:14" x14ac:dyDescent="0.2">
      <c r="A47" s="9" t="s">
        <v>1202</v>
      </c>
      <c r="B47" s="9" t="s">
        <v>1157</v>
      </c>
      <c r="C47" s="23" t="s">
        <v>1266</v>
      </c>
      <c r="D47" s="23"/>
      <c r="E47" s="11" t="s">
        <v>1186</v>
      </c>
      <c r="F47" s="57" t="s">
        <v>549</v>
      </c>
      <c r="G47" s="1"/>
      <c r="H47" s="58"/>
      <c r="I47" s="1" t="s">
        <v>286</v>
      </c>
      <c r="J47" s="15">
        <v>12394</v>
      </c>
      <c r="K47" s="15">
        <v>43631</v>
      </c>
      <c r="L47" s="1" t="s">
        <v>122</v>
      </c>
      <c r="M47" s="1" t="s">
        <v>343</v>
      </c>
      <c r="N47"/>
    </row>
    <row r="48" spans="1:14" x14ac:dyDescent="0.2">
      <c r="A48" s="9" t="s">
        <v>1155</v>
      </c>
      <c r="B48" s="9" t="s">
        <v>1160</v>
      </c>
      <c r="C48" s="12" t="s">
        <v>1267</v>
      </c>
      <c r="D48" s="9"/>
      <c r="E48" s="11" t="s">
        <v>1186</v>
      </c>
      <c r="F48" s="52" t="s">
        <v>1105</v>
      </c>
      <c r="H48" s="11"/>
      <c r="I48" t="s">
        <v>100</v>
      </c>
      <c r="J48" s="10">
        <v>12320</v>
      </c>
      <c r="K48" s="54">
        <v>45563</v>
      </c>
      <c r="L48" s="1" t="s">
        <v>1101</v>
      </c>
      <c r="M48" s="1" t="s">
        <v>15</v>
      </c>
    </row>
    <row r="49" spans="1:14" x14ac:dyDescent="0.2">
      <c r="A49" s="9" t="s">
        <v>1155</v>
      </c>
      <c r="B49" s="9" t="s">
        <v>1168</v>
      </c>
      <c r="C49" s="12" t="s">
        <v>1265</v>
      </c>
      <c r="D49" s="9" t="s">
        <v>1241</v>
      </c>
      <c r="E49" s="11" t="s">
        <v>1186</v>
      </c>
      <c r="F49" s="52" t="s">
        <v>1108</v>
      </c>
      <c r="H49" s="11"/>
      <c r="I49" t="s">
        <v>909</v>
      </c>
      <c r="J49" s="10">
        <v>16299</v>
      </c>
      <c r="K49" s="54">
        <v>45562</v>
      </c>
      <c r="L49" s="1" t="s">
        <v>1101</v>
      </c>
      <c r="M49" s="1" t="s">
        <v>15</v>
      </c>
      <c r="N49" s="12"/>
    </row>
    <row r="50" spans="1:14" x14ac:dyDescent="0.2">
      <c r="A50" s="9" t="s">
        <v>1155</v>
      </c>
      <c r="B50" s="9" t="s">
        <v>1161</v>
      </c>
      <c r="C50" s="12" t="s">
        <v>1263</v>
      </c>
      <c r="D50" s="9"/>
      <c r="E50" s="11" t="s">
        <v>1186</v>
      </c>
      <c r="F50" s="52" t="s">
        <v>1357</v>
      </c>
      <c r="H50" s="11"/>
      <c r="I50" t="s">
        <v>162</v>
      </c>
      <c r="J50" s="10">
        <v>20038</v>
      </c>
      <c r="K50" s="10">
        <v>45843</v>
      </c>
      <c r="L50" t="s">
        <v>95</v>
      </c>
      <c r="M50" t="s">
        <v>1060</v>
      </c>
      <c r="N50" s="12"/>
    </row>
    <row r="51" spans="1:14" x14ac:dyDescent="0.2">
      <c r="A51" s="9" t="s">
        <v>1155</v>
      </c>
      <c r="B51" s="9" t="s">
        <v>312</v>
      </c>
      <c r="C51" s="12" t="s">
        <v>1266</v>
      </c>
      <c r="D51" s="9">
        <v>400</v>
      </c>
      <c r="E51" s="11" t="s">
        <v>1186</v>
      </c>
      <c r="F51" s="52" t="s">
        <v>1011</v>
      </c>
      <c r="H51" s="11"/>
      <c r="I51" t="s">
        <v>212</v>
      </c>
      <c r="J51" s="10">
        <v>13492</v>
      </c>
      <c r="K51" s="10">
        <v>45332</v>
      </c>
      <c r="L51" s="1" t="s">
        <v>86</v>
      </c>
      <c r="M51" s="1" t="s">
        <v>45</v>
      </c>
      <c r="N51" s="12"/>
    </row>
    <row r="52" spans="1:14" x14ac:dyDescent="0.2">
      <c r="A52" s="9" t="s">
        <v>1202</v>
      </c>
      <c r="B52" t="s">
        <v>298</v>
      </c>
      <c r="C52" s="23" t="s">
        <v>1261</v>
      </c>
      <c r="D52" t="s">
        <v>1253</v>
      </c>
      <c r="E52" s="11" t="s">
        <v>1186</v>
      </c>
      <c r="F52" s="57" t="s">
        <v>748</v>
      </c>
      <c r="G52" s="58"/>
      <c r="I52" s="1" t="s">
        <v>1086</v>
      </c>
      <c r="J52" s="15">
        <v>23473</v>
      </c>
      <c r="K52" s="15">
        <v>45564</v>
      </c>
      <c r="L52" s="1" t="s">
        <v>1101</v>
      </c>
      <c r="M52" s="1" t="s">
        <v>15</v>
      </c>
      <c r="N52"/>
    </row>
    <row r="53" spans="1:14" x14ac:dyDescent="0.2">
      <c r="A53" s="9" t="s">
        <v>1155</v>
      </c>
      <c r="B53" s="9" t="s">
        <v>1171</v>
      </c>
      <c r="C53" s="12" t="s">
        <v>1265</v>
      </c>
      <c r="D53" s="9"/>
      <c r="E53" s="11" t="s">
        <v>1186</v>
      </c>
      <c r="F53" s="52" t="s">
        <v>1364</v>
      </c>
      <c r="H53" s="11"/>
      <c r="I53" t="s">
        <v>347</v>
      </c>
      <c r="J53" s="10">
        <v>16314</v>
      </c>
      <c r="K53" s="54">
        <v>45626</v>
      </c>
      <c r="L53" s="1" t="s">
        <v>1001</v>
      </c>
      <c r="M53" s="1" t="s">
        <v>177</v>
      </c>
      <c r="N53" s="12"/>
    </row>
    <row r="54" spans="1:14" x14ac:dyDescent="0.2">
      <c r="A54" s="9" t="s">
        <v>1202</v>
      </c>
      <c r="B54" s="9" t="s">
        <v>1171</v>
      </c>
      <c r="C54" s="23" t="s">
        <v>1262</v>
      </c>
      <c r="D54" s="9"/>
      <c r="E54" s="11" t="s">
        <v>1186</v>
      </c>
      <c r="F54" s="57" t="s">
        <v>625</v>
      </c>
      <c r="G54" s="1"/>
      <c r="H54" s="58"/>
      <c r="I54" s="1" t="s">
        <v>624</v>
      </c>
      <c r="J54" s="23"/>
      <c r="K54" s="23">
        <v>2008</v>
      </c>
      <c r="L54" s="1" t="s">
        <v>44</v>
      </c>
      <c r="M54" s="1"/>
      <c r="N54"/>
    </row>
    <row r="55" spans="1:14" x14ac:dyDescent="0.2">
      <c r="A55" s="9" t="s">
        <v>1155</v>
      </c>
      <c r="B55" s="9" t="s">
        <v>1158</v>
      </c>
      <c r="C55" s="12" t="s">
        <v>1257</v>
      </c>
      <c r="D55" s="9"/>
      <c r="E55" s="11" t="s">
        <v>1186</v>
      </c>
      <c r="F55" s="52" t="s">
        <v>1359</v>
      </c>
      <c r="H55" s="11"/>
      <c r="I55" s="1" t="s">
        <v>1349</v>
      </c>
      <c r="J55" s="15">
        <v>31211</v>
      </c>
      <c r="K55" s="10">
        <v>45843</v>
      </c>
      <c r="L55" t="s">
        <v>95</v>
      </c>
      <c r="M55" t="s">
        <v>1060</v>
      </c>
      <c r="N55" s="12"/>
    </row>
    <row r="56" spans="1:14" x14ac:dyDescent="0.2">
      <c r="A56" s="9" t="s">
        <v>1202</v>
      </c>
      <c r="B56" s="9" t="s">
        <v>1158</v>
      </c>
      <c r="C56" s="23">
        <v>55</v>
      </c>
      <c r="D56" s="9"/>
      <c r="E56" s="11" t="s">
        <v>1186</v>
      </c>
      <c r="F56" s="57" t="s">
        <v>565</v>
      </c>
      <c r="G56" s="1"/>
      <c r="H56" s="58"/>
      <c r="I56" s="1" t="s">
        <v>566</v>
      </c>
      <c r="J56" s="23"/>
      <c r="K56" s="23">
        <v>2008</v>
      </c>
      <c r="L56" s="1" t="s">
        <v>567</v>
      </c>
      <c r="M56" s="1" t="s">
        <v>15</v>
      </c>
    </row>
    <row r="57" spans="1:14" x14ac:dyDescent="0.2">
      <c r="A57" s="9" t="s">
        <v>1202</v>
      </c>
      <c r="B57" s="9" t="s">
        <v>1158</v>
      </c>
      <c r="C57" s="23" t="s">
        <v>1266</v>
      </c>
      <c r="D57" s="9"/>
      <c r="E57" s="11" t="s">
        <v>1186</v>
      </c>
      <c r="F57" s="57" t="s">
        <v>1230</v>
      </c>
      <c r="G57" s="1"/>
      <c r="H57" s="58"/>
      <c r="I57" s="1" t="s">
        <v>572</v>
      </c>
      <c r="J57" s="15">
        <v>14628</v>
      </c>
      <c r="K57" s="15">
        <v>45780</v>
      </c>
      <c r="L57" t="s">
        <v>1223</v>
      </c>
      <c r="M57" t="s">
        <v>40</v>
      </c>
      <c r="N57"/>
    </row>
    <row r="58" spans="1:14" x14ac:dyDescent="0.2">
      <c r="A58" s="9" t="s">
        <v>1202</v>
      </c>
      <c r="B58" s="9" t="s">
        <v>1172</v>
      </c>
      <c r="C58" s="23" t="s">
        <v>1260</v>
      </c>
      <c r="D58" s="9"/>
      <c r="E58" s="11" t="s">
        <v>1186</v>
      </c>
      <c r="F58" s="57" t="s">
        <v>840</v>
      </c>
      <c r="G58" s="4"/>
      <c r="H58" s="89"/>
      <c r="I58" s="1" t="s">
        <v>618</v>
      </c>
      <c r="J58" s="15">
        <v>24465</v>
      </c>
      <c r="K58" s="15">
        <v>44758</v>
      </c>
      <c r="L58" s="4" t="s">
        <v>46</v>
      </c>
      <c r="M58" s="1" t="s">
        <v>40</v>
      </c>
      <c r="N58"/>
    </row>
    <row r="59" spans="1:14" x14ac:dyDescent="0.2">
      <c r="A59" s="9" t="s">
        <v>1202</v>
      </c>
      <c r="B59" t="s">
        <v>296</v>
      </c>
      <c r="C59" s="23" t="s">
        <v>1263</v>
      </c>
      <c r="D59" t="s">
        <v>1247</v>
      </c>
      <c r="E59" s="11" t="s">
        <v>1186</v>
      </c>
      <c r="F59" s="57" t="s">
        <v>831</v>
      </c>
      <c r="G59" s="1"/>
      <c r="H59" s="58"/>
      <c r="I59" s="1" t="s">
        <v>680</v>
      </c>
      <c r="J59" s="15">
        <v>18954</v>
      </c>
      <c r="K59" s="15">
        <v>44750</v>
      </c>
      <c r="L59" s="1" t="s">
        <v>829</v>
      </c>
      <c r="M59" s="1" t="s">
        <v>85</v>
      </c>
      <c r="N59"/>
    </row>
    <row r="60" spans="1:14" x14ac:dyDescent="0.2">
      <c r="A60" s="9" t="s">
        <v>1155</v>
      </c>
      <c r="B60" s="9" t="s">
        <v>1159</v>
      </c>
      <c r="C60" s="12" t="s">
        <v>1259</v>
      </c>
      <c r="D60" s="9"/>
      <c r="E60" s="11" t="s">
        <v>1186</v>
      </c>
      <c r="F60" s="52" t="s">
        <v>1087</v>
      </c>
      <c r="H60" s="11"/>
      <c r="I60" t="s">
        <v>129</v>
      </c>
      <c r="J60" s="10">
        <v>27181</v>
      </c>
      <c r="K60" s="10">
        <v>45501</v>
      </c>
      <c r="L60" s="1" t="s">
        <v>1088</v>
      </c>
      <c r="M60" t="s">
        <v>1089</v>
      </c>
      <c r="N60" s="12"/>
    </row>
    <row r="61" spans="1:14" x14ac:dyDescent="0.2">
      <c r="A61" s="9" t="s">
        <v>1155</v>
      </c>
      <c r="B61" s="9" t="s">
        <v>1156</v>
      </c>
      <c r="C61" s="12" t="s">
        <v>1257</v>
      </c>
      <c r="D61" s="9"/>
      <c r="E61" s="11" t="s">
        <v>1186</v>
      </c>
      <c r="F61" s="52" t="s">
        <v>1371</v>
      </c>
      <c r="H61" s="11" t="s">
        <v>1372</v>
      </c>
      <c r="I61" s="1" t="s">
        <v>1349</v>
      </c>
      <c r="J61" s="15">
        <v>31211</v>
      </c>
      <c r="K61" s="10">
        <v>45872</v>
      </c>
      <c r="L61" t="s">
        <v>46</v>
      </c>
      <c r="M61" t="s">
        <v>155</v>
      </c>
    </row>
    <row r="62" spans="1:14" x14ac:dyDescent="0.2">
      <c r="A62" s="9" t="s">
        <v>1202</v>
      </c>
      <c r="B62" s="9" t="s">
        <v>1156</v>
      </c>
      <c r="C62" s="23" t="s">
        <v>1260</v>
      </c>
      <c r="D62" s="9"/>
      <c r="E62" s="11" t="s">
        <v>1186</v>
      </c>
      <c r="F62" s="57" t="s">
        <v>1374</v>
      </c>
      <c r="G62" s="1"/>
      <c r="H62" s="58" t="s">
        <v>1375</v>
      </c>
      <c r="I62" s="1" t="s">
        <v>1322</v>
      </c>
      <c r="J62" s="15">
        <v>25706</v>
      </c>
      <c r="K62" s="15">
        <v>45886</v>
      </c>
      <c r="L62" s="1" t="s">
        <v>35</v>
      </c>
      <c r="M62" s="1" t="s">
        <v>1373</v>
      </c>
      <c r="N62"/>
    </row>
    <row r="63" spans="1:14" x14ac:dyDescent="0.2">
      <c r="A63" s="9" t="s">
        <v>1155</v>
      </c>
      <c r="B63" s="9" t="s">
        <v>1168</v>
      </c>
      <c r="C63" s="12" t="s">
        <v>1265</v>
      </c>
      <c r="D63" s="9" t="s">
        <v>1241</v>
      </c>
      <c r="E63" s="11" t="s">
        <v>1186</v>
      </c>
      <c r="F63" s="52" t="s">
        <v>1388</v>
      </c>
      <c r="H63" s="11"/>
      <c r="I63" t="s">
        <v>909</v>
      </c>
      <c r="J63" s="10">
        <v>16299</v>
      </c>
      <c r="K63" s="54">
        <v>45898</v>
      </c>
      <c r="L63" s="1" t="s">
        <v>1409</v>
      </c>
      <c r="M63" s="1" t="s">
        <v>15</v>
      </c>
      <c r="N63" s="12"/>
    </row>
    <row r="64" spans="1:14" x14ac:dyDescent="0.2">
      <c r="A64" s="9" t="s">
        <v>1155</v>
      </c>
      <c r="B64" s="9" t="s">
        <v>1178</v>
      </c>
      <c r="C64" s="12" t="s">
        <v>1263</v>
      </c>
      <c r="D64" s="9" t="s">
        <v>1242</v>
      </c>
      <c r="E64" s="11" t="s">
        <v>1186</v>
      </c>
      <c r="F64" s="52" t="s">
        <v>1077</v>
      </c>
      <c r="H64" s="11"/>
      <c r="I64" t="s">
        <v>410</v>
      </c>
      <c r="J64" s="10">
        <v>19851</v>
      </c>
      <c r="K64" s="10">
        <v>45478</v>
      </c>
      <c r="L64" s="61" t="s">
        <v>1009</v>
      </c>
      <c r="M64" t="s">
        <v>40</v>
      </c>
      <c r="N64" s="12"/>
    </row>
    <row r="65" spans="1:15" x14ac:dyDescent="0.2">
      <c r="A65" s="9" t="s">
        <v>1202</v>
      </c>
      <c r="B65" t="s">
        <v>423</v>
      </c>
      <c r="C65" s="23" t="s">
        <v>1263</v>
      </c>
      <c r="D65" t="s">
        <v>1249</v>
      </c>
      <c r="E65" s="11" t="s">
        <v>1186</v>
      </c>
      <c r="F65" s="57" t="s">
        <v>805</v>
      </c>
      <c r="G65" s="4"/>
      <c r="H65" s="58"/>
      <c r="I65" s="1" t="s">
        <v>680</v>
      </c>
      <c r="J65" s="15">
        <v>18954</v>
      </c>
      <c r="K65" s="15">
        <v>44632</v>
      </c>
      <c r="L65" s="1" t="s">
        <v>804</v>
      </c>
      <c r="M65" s="1" t="s">
        <v>15</v>
      </c>
    </row>
    <row r="66" spans="1:15" x14ac:dyDescent="0.2">
      <c r="A66" s="109" t="s">
        <v>1202</v>
      </c>
      <c r="B66" s="108" t="s">
        <v>1429</v>
      </c>
      <c r="C66" s="110" t="s">
        <v>1261</v>
      </c>
      <c r="D66" s="108"/>
      <c r="E66" s="111" t="s">
        <v>1186</v>
      </c>
      <c r="F66" s="112" t="s">
        <v>1121</v>
      </c>
      <c r="G66" s="113"/>
      <c r="H66" s="114"/>
      <c r="I66" s="113" t="s">
        <v>1123</v>
      </c>
      <c r="J66" s="110"/>
      <c r="K66" s="115">
        <v>45626</v>
      </c>
      <c r="L66" s="113" t="s">
        <v>27</v>
      </c>
      <c r="M66" s="113" t="s">
        <v>177</v>
      </c>
      <c r="N66" s="116" t="str">
        <f>IF(_xlfn.NUMBERVALUE(DATEDIF(J66,K66,"Y"))-Table1[[#This Row],[Κατηγορία]]&lt;0,"* Check Age *","")</f>
        <v/>
      </c>
    </row>
    <row r="67" spans="1:15" x14ac:dyDescent="0.2">
      <c r="A67" s="117" t="s">
        <v>1202</v>
      </c>
      <c r="B67" t="s">
        <v>1429</v>
      </c>
      <c r="C67" s="23" t="s">
        <v>1261</v>
      </c>
      <c r="E67" s="11" t="s">
        <v>1186</v>
      </c>
      <c r="F67" s="57" t="s">
        <v>1121</v>
      </c>
      <c r="G67" s="1"/>
      <c r="H67" s="58"/>
      <c r="I67" s="1" t="s">
        <v>1124</v>
      </c>
      <c r="J67" s="23"/>
      <c r="K67" s="15">
        <v>45626</v>
      </c>
      <c r="L67" s="1" t="s">
        <v>27</v>
      </c>
      <c r="M67" s="1" t="s">
        <v>177</v>
      </c>
      <c r="N67" s="118"/>
    </row>
    <row r="68" spans="1:15" x14ac:dyDescent="0.2">
      <c r="A68" s="117" t="s">
        <v>1202</v>
      </c>
      <c r="B68" t="s">
        <v>1429</v>
      </c>
      <c r="C68" s="23" t="s">
        <v>1261</v>
      </c>
      <c r="E68" s="11" t="s">
        <v>1186</v>
      </c>
      <c r="F68" s="57" t="s">
        <v>1121</v>
      </c>
      <c r="G68" s="1"/>
      <c r="H68" s="58"/>
      <c r="I68" s="1" t="s">
        <v>651</v>
      </c>
      <c r="J68" s="23"/>
      <c r="K68" s="15">
        <v>45626</v>
      </c>
      <c r="L68" s="1" t="s">
        <v>27</v>
      </c>
      <c r="M68" s="1" t="s">
        <v>177</v>
      </c>
      <c r="N68" s="118"/>
    </row>
    <row r="69" spans="1:15" x14ac:dyDescent="0.2">
      <c r="A69" s="119" t="s">
        <v>1202</v>
      </c>
      <c r="B69" s="120" t="s">
        <v>1429</v>
      </c>
      <c r="C69" s="121" t="s">
        <v>1261</v>
      </c>
      <c r="D69" s="120"/>
      <c r="E69" s="122" t="s">
        <v>1186</v>
      </c>
      <c r="F69" s="123" t="s">
        <v>1121</v>
      </c>
      <c r="G69" s="124"/>
      <c r="H69" s="125"/>
      <c r="I69" s="124" t="s">
        <v>1122</v>
      </c>
      <c r="J69" s="121"/>
      <c r="K69" s="127">
        <v>45626</v>
      </c>
      <c r="L69" s="124" t="s">
        <v>27</v>
      </c>
      <c r="M69" s="124" t="s">
        <v>177</v>
      </c>
      <c r="N69" s="126"/>
    </row>
    <row r="70" spans="1:15" x14ac:dyDescent="0.2">
      <c r="A70" s="128" t="s">
        <v>1202</v>
      </c>
      <c r="B70" s="128" t="s">
        <v>1156</v>
      </c>
      <c r="C70" s="135" t="s">
        <v>1258</v>
      </c>
      <c r="D70" s="128"/>
      <c r="E70" s="130" t="s">
        <v>1186</v>
      </c>
      <c r="F70" s="136" t="s">
        <v>552</v>
      </c>
      <c r="G70" s="5"/>
      <c r="H70" s="137"/>
      <c r="I70" s="5" t="s">
        <v>534</v>
      </c>
      <c r="J70" s="138">
        <v>25836</v>
      </c>
      <c r="K70" s="138">
        <v>42168</v>
      </c>
      <c r="L70" s="5" t="s">
        <v>145</v>
      </c>
      <c r="M70" s="5" t="s">
        <v>343</v>
      </c>
      <c r="N70" s="134" t="str">
        <f>IF(_xlfn.NUMBERVALUE(DATEDIF(J70,K70,"Y"))-Table1[[#This Row],[Κατηγορία]]&lt;0,CONCATENATE("* Check Age = ",TEXT(DATEDIF(J70,K70,"Y"),"00"),"*"),"")</f>
        <v>* Check Age = 44*</v>
      </c>
      <c r="O70" s="132" t="s">
        <v>1437</v>
      </c>
    </row>
    <row r="71" spans="1:15" x14ac:dyDescent="0.2">
      <c r="A71" s="9" t="s">
        <v>1155</v>
      </c>
      <c r="B71" s="9" t="s">
        <v>184</v>
      </c>
      <c r="C71" s="12" t="s">
        <v>1262</v>
      </c>
      <c r="D71" s="9"/>
      <c r="E71" s="11" t="s">
        <v>1186</v>
      </c>
      <c r="F71" s="52" t="s">
        <v>993</v>
      </c>
      <c r="H71" s="11"/>
      <c r="I71" t="s">
        <v>994</v>
      </c>
      <c r="J71" s="12">
        <v>1956</v>
      </c>
      <c r="K71" s="10">
        <v>45214</v>
      </c>
      <c r="L71" s="59" t="s">
        <v>95</v>
      </c>
      <c r="M71" s="1" t="s">
        <v>996</v>
      </c>
      <c r="N71" s="107" t="str">
        <f>IF(_xlfn.NUMBERVALUE(DATEDIF(J71,K71,"Y"))-Table1[[#This Row],[Κατηγορία]]&lt;0,"* Check Age *","")</f>
        <v/>
      </c>
    </row>
    <row r="72" spans="1:15" x14ac:dyDescent="0.2">
      <c r="A72" s="9" t="s">
        <v>1202</v>
      </c>
      <c r="B72" s="9" t="s">
        <v>184</v>
      </c>
      <c r="C72" s="23" t="s">
        <v>1261</v>
      </c>
      <c r="D72" s="9"/>
      <c r="E72" s="11" t="s">
        <v>1186</v>
      </c>
      <c r="F72" s="57" t="s">
        <v>1021</v>
      </c>
      <c r="G72" s="1"/>
      <c r="H72" s="58"/>
      <c r="I72" s="1" t="s">
        <v>1022</v>
      </c>
      <c r="J72" s="15">
        <v>23056</v>
      </c>
      <c r="K72" s="15">
        <v>45382</v>
      </c>
      <c r="L72" s="1" t="s">
        <v>1023</v>
      </c>
      <c r="M72" s="1" t="s">
        <v>1024</v>
      </c>
    </row>
    <row r="73" spans="1:15" x14ac:dyDescent="0.2">
      <c r="A73" s="9" t="s">
        <v>1155</v>
      </c>
      <c r="B73" s="9" t="s">
        <v>199</v>
      </c>
      <c r="C73" s="12" t="s">
        <v>1259</v>
      </c>
      <c r="D73" s="9"/>
      <c r="E73" s="11" t="s">
        <v>1186</v>
      </c>
      <c r="F73" s="52" t="s">
        <v>1003</v>
      </c>
      <c r="H73" s="11"/>
      <c r="I73" t="s">
        <v>1002</v>
      </c>
      <c r="J73" s="10">
        <v>26956</v>
      </c>
      <c r="K73" s="10">
        <v>45242</v>
      </c>
      <c r="L73" t="s">
        <v>44</v>
      </c>
      <c r="M73" t="s">
        <v>876</v>
      </c>
      <c r="N73" s="107" t="str">
        <f>IF(_xlfn.NUMBERVALUE(DATEDIF(J73,K73,"Y"))-Table1[[#This Row],[Κατηγορία]]&lt;0,"* Check Age *","")</f>
        <v/>
      </c>
    </row>
    <row r="74" spans="1:15" x14ac:dyDescent="0.2">
      <c r="A74" s="9" t="s">
        <v>1202</v>
      </c>
      <c r="B74" s="9" t="s">
        <v>1163</v>
      </c>
      <c r="C74" s="23" t="s">
        <v>1260</v>
      </c>
      <c r="D74" s="9"/>
      <c r="E74" s="11" t="s">
        <v>1186</v>
      </c>
      <c r="F74" s="57" t="s">
        <v>1004</v>
      </c>
      <c r="G74" s="1"/>
      <c r="H74" s="58"/>
      <c r="I74" s="1" t="s">
        <v>796</v>
      </c>
      <c r="J74" s="15">
        <v>23773</v>
      </c>
      <c r="K74" s="15">
        <v>45276</v>
      </c>
      <c r="L74" s="1" t="s">
        <v>175</v>
      </c>
      <c r="M74" s="1" t="s">
        <v>176</v>
      </c>
      <c r="N74" s="107" t="str">
        <f>IF(_xlfn.NUMBERVALUE(DATEDIF(J74,K74,"Y"))-Table1[[#This Row],[Κατηγορία]]&lt;0,"* Check Age *","")</f>
        <v/>
      </c>
    </row>
    <row r="75" spans="1:15" x14ac:dyDescent="0.2">
      <c r="A75" s="9" t="s">
        <v>1202</v>
      </c>
      <c r="B75" s="9" t="s">
        <v>199</v>
      </c>
      <c r="C75" s="23" t="s">
        <v>1261</v>
      </c>
      <c r="D75" s="9"/>
      <c r="E75" s="11" t="s">
        <v>1186</v>
      </c>
      <c r="F75" s="57" t="s">
        <v>1436</v>
      </c>
      <c r="G75" s="1"/>
      <c r="H75" s="58"/>
      <c r="I75" s="1" t="s">
        <v>796</v>
      </c>
      <c r="J75" s="15">
        <v>23773</v>
      </c>
      <c r="K75" s="15">
        <v>45711</v>
      </c>
      <c r="L75" s="1" t="s">
        <v>1366</v>
      </c>
      <c r="M75" s="1" t="s">
        <v>795</v>
      </c>
      <c r="N75" s="107" t="str">
        <f>IF(_xlfn.NUMBERVALUE(DATEDIF(J75,K75,"Y"))-Table1[[#This Row],[Κατηγορία]]&lt;0,"* Check Age *","")</f>
        <v/>
      </c>
    </row>
    <row r="76" spans="1:15" x14ac:dyDescent="0.2">
      <c r="A76" s="9" t="s">
        <v>1202</v>
      </c>
      <c r="B76" s="9" t="s">
        <v>184</v>
      </c>
      <c r="C76" s="23" t="s">
        <v>1261</v>
      </c>
      <c r="D76" s="9"/>
      <c r="E76" s="11" t="s">
        <v>1186</v>
      </c>
      <c r="F76" s="57" t="s">
        <v>1441</v>
      </c>
      <c r="G76" s="1"/>
      <c r="H76" s="58"/>
      <c r="I76" s="1" t="s">
        <v>587</v>
      </c>
      <c r="J76" s="15">
        <v>23859</v>
      </c>
      <c r="K76" s="15">
        <v>45991</v>
      </c>
      <c r="L76" s="1" t="s">
        <v>1023</v>
      </c>
      <c r="M76" s="1" t="s">
        <v>1024</v>
      </c>
      <c r="N76" s="107" t="str">
        <f>IF(_xlfn.NUMBERVALUE(DATEDIF(J76,K76,"Y"))-Table1[[#This Row],[Κατηγορία]]&lt;0,"* Check Age *","")</f>
        <v/>
      </c>
    </row>
  </sheetData>
  <mergeCells count="1">
    <mergeCell ref="A1:N1"/>
  </mergeCells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593626-CFA8-124D-BBFD-23EB9EEF13D4}">
  <dimension ref="A1:C439"/>
  <sheetViews>
    <sheetView topLeftCell="A108" zoomScale="120" zoomScaleNormal="120" workbookViewId="0">
      <selection activeCell="B130" sqref="B130"/>
    </sheetView>
  </sheetViews>
  <sheetFormatPr baseColWidth="10" defaultColWidth="10.83203125" defaultRowHeight="15" x14ac:dyDescent="0.2"/>
  <cols>
    <col min="1" max="1" width="36.1640625" bestFit="1" customWidth="1"/>
    <col min="2" max="2" width="12.5" bestFit="1" customWidth="1"/>
    <col min="3" max="3" width="10.83203125" style="98"/>
  </cols>
  <sheetData>
    <row r="1" spans="1:3" x14ac:dyDescent="0.2">
      <c r="A1" s="6" t="s">
        <v>1293</v>
      </c>
      <c r="B1" s="6" t="s">
        <v>1294</v>
      </c>
      <c r="C1" s="98" t="s">
        <v>1351</v>
      </c>
    </row>
    <row r="2" spans="1:3" x14ac:dyDescent="0.2">
      <c r="A2" s="1" t="s">
        <v>289</v>
      </c>
      <c r="B2" s="15">
        <v>28758</v>
      </c>
      <c r="C2" s="98">
        <f ca="1">DATEDIF(B2,TODAY(),"Y")</f>
        <v>47</v>
      </c>
    </row>
    <row r="3" spans="1:3" x14ac:dyDescent="0.2">
      <c r="A3" t="s">
        <v>427</v>
      </c>
      <c r="B3" s="10">
        <v>20677</v>
      </c>
      <c r="C3" s="98">
        <f t="shared" ref="C3:C66" ca="1" si="0">DATEDIF(B3,TODAY(),"Y")</f>
        <v>69</v>
      </c>
    </row>
    <row r="4" spans="1:3" x14ac:dyDescent="0.2">
      <c r="A4" s="1" t="s">
        <v>667</v>
      </c>
      <c r="B4" s="23">
        <v>1960</v>
      </c>
      <c r="C4" s="98">
        <f t="shared" ca="1" si="0"/>
        <v>120</v>
      </c>
    </row>
    <row r="5" spans="1:3" x14ac:dyDescent="0.2">
      <c r="A5" t="s">
        <v>411</v>
      </c>
      <c r="B5" s="11">
        <v>1915</v>
      </c>
      <c r="C5" s="98">
        <f t="shared" ca="1" si="0"/>
        <v>120</v>
      </c>
    </row>
    <row r="6" spans="1:3" x14ac:dyDescent="0.2">
      <c r="A6" t="s">
        <v>1295</v>
      </c>
      <c r="B6" s="10">
        <v>25893</v>
      </c>
      <c r="C6" s="98">
        <f t="shared" ca="1" si="0"/>
        <v>55</v>
      </c>
    </row>
    <row r="7" spans="1:3" x14ac:dyDescent="0.2">
      <c r="A7" t="s">
        <v>1006</v>
      </c>
      <c r="B7" s="11">
        <v>1975</v>
      </c>
      <c r="C7" s="98">
        <f t="shared" ca="1" si="0"/>
        <v>120</v>
      </c>
    </row>
    <row r="8" spans="1:3" x14ac:dyDescent="0.2">
      <c r="A8" t="s">
        <v>1000</v>
      </c>
      <c r="B8" s="13">
        <v>21892</v>
      </c>
      <c r="C8" s="98">
        <f t="shared" ca="1" si="0"/>
        <v>66</v>
      </c>
    </row>
    <row r="9" spans="1:3" x14ac:dyDescent="0.2">
      <c r="A9" s="1" t="s">
        <v>990</v>
      </c>
      <c r="B9" s="23">
        <v>1982</v>
      </c>
      <c r="C9" s="98">
        <f t="shared" ca="1" si="0"/>
        <v>120</v>
      </c>
    </row>
    <row r="10" spans="1:3" x14ac:dyDescent="0.2">
      <c r="A10" s="1" t="s">
        <v>1296</v>
      </c>
      <c r="B10" s="15">
        <v>30881</v>
      </c>
      <c r="C10" s="98">
        <f t="shared" ca="1" si="0"/>
        <v>41</v>
      </c>
    </row>
    <row r="11" spans="1:3" x14ac:dyDescent="0.2">
      <c r="A11" s="1" t="s">
        <v>1297</v>
      </c>
      <c r="B11" s="15">
        <v>28047</v>
      </c>
      <c r="C11" s="98">
        <f t="shared" ca="1" si="0"/>
        <v>49</v>
      </c>
    </row>
    <row r="12" spans="1:3" x14ac:dyDescent="0.2">
      <c r="A12" s="1" t="s">
        <v>1298</v>
      </c>
      <c r="B12" s="15">
        <v>23843</v>
      </c>
      <c r="C12" s="98">
        <f t="shared" ca="1" si="0"/>
        <v>60</v>
      </c>
    </row>
    <row r="13" spans="1:3" x14ac:dyDescent="0.2">
      <c r="A13" s="61" t="s">
        <v>442</v>
      </c>
      <c r="B13" s="10">
        <v>26833</v>
      </c>
      <c r="C13" s="98">
        <f t="shared" ca="1" si="0"/>
        <v>52</v>
      </c>
    </row>
    <row r="14" spans="1:3" x14ac:dyDescent="0.2">
      <c r="A14" t="s">
        <v>1017</v>
      </c>
      <c r="B14" s="10">
        <v>32404</v>
      </c>
      <c r="C14" s="98">
        <f t="shared" ca="1" si="0"/>
        <v>37</v>
      </c>
    </row>
    <row r="15" spans="1:3" x14ac:dyDescent="0.2">
      <c r="A15" t="s">
        <v>30</v>
      </c>
      <c r="B15" s="10">
        <v>25013</v>
      </c>
      <c r="C15" s="98">
        <f t="shared" ca="1" si="0"/>
        <v>57</v>
      </c>
    </row>
    <row r="16" spans="1:3" x14ac:dyDescent="0.2">
      <c r="A16" t="s">
        <v>1066</v>
      </c>
      <c r="B16" s="10">
        <v>24440</v>
      </c>
      <c r="C16" s="98">
        <f t="shared" ca="1" si="0"/>
        <v>59</v>
      </c>
    </row>
    <row r="17" spans="1:3" x14ac:dyDescent="0.2">
      <c r="A17" s="1" t="s">
        <v>564</v>
      </c>
      <c r="B17" s="15">
        <v>16041</v>
      </c>
      <c r="C17" s="98">
        <f t="shared" ca="1" si="0"/>
        <v>82</v>
      </c>
    </row>
    <row r="18" spans="1:3" x14ac:dyDescent="0.2">
      <c r="A18" s="1" t="s">
        <v>693</v>
      </c>
      <c r="B18" s="15">
        <v>24913</v>
      </c>
      <c r="C18" s="98">
        <f t="shared" ca="1" si="0"/>
        <v>57</v>
      </c>
    </row>
    <row r="19" spans="1:3" x14ac:dyDescent="0.2">
      <c r="A19" s="1" t="s">
        <v>535</v>
      </c>
      <c r="B19" s="15">
        <v>28520</v>
      </c>
      <c r="C19" s="98">
        <f t="shared" ca="1" si="0"/>
        <v>48</v>
      </c>
    </row>
    <row r="20" spans="1:3" x14ac:dyDescent="0.2">
      <c r="A20" s="1" t="s">
        <v>903</v>
      </c>
      <c r="B20" s="15">
        <v>26033</v>
      </c>
      <c r="C20" s="98">
        <f t="shared" ca="1" si="0"/>
        <v>54</v>
      </c>
    </row>
    <row r="21" spans="1:3" x14ac:dyDescent="0.2">
      <c r="A21" t="s">
        <v>1299</v>
      </c>
      <c r="B21" s="10">
        <v>12823</v>
      </c>
      <c r="C21" s="98">
        <f t="shared" ca="1" si="0"/>
        <v>91</v>
      </c>
    </row>
    <row r="22" spans="1:3" x14ac:dyDescent="0.2">
      <c r="A22" t="s">
        <v>1300</v>
      </c>
      <c r="B22" s="10">
        <v>25380</v>
      </c>
      <c r="C22" s="98">
        <f t="shared" ca="1" si="0"/>
        <v>56</v>
      </c>
    </row>
    <row r="23" spans="1:3" x14ac:dyDescent="0.2">
      <c r="A23" t="s">
        <v>738</v>
      </c>
      <c r="B23" s="11">
        <v>1965</v>
      </c>
      <c r="C23" s="98">
        <f t="shared" ca="1" si="0"/>
        <v>120</v>
      </c>
    </row>
    <row r="24" spans="1:3" x14ac:dyDescent="0.2">
      <c r="A24" t="s">
        <v>62</v>
      </c>
      <c r="B24" s="10">
        <v>8298</v>
      </c>
      <c r="C24" s="98">
        <f t="shared" ca="1" si="0"/>
        <v>103</v>
      </c>
    </row>
    <row r="25" spans="1:3" x14ac:dyDescent="0.2">
      <c r="A25" s="61" t="s">
        <v>772</v>
      </c>
      <c r="B25" s="11">
        <v>1965</v>
      </c>
      <c r="C25" s="98">
        <f t="shared" ca="1" si="0"/>
        <v>120</v>
      </c>
    </row>
    <row r="26" spans="1:3" x14ac:dyDescent="0.2">
      <c r="A26" t="s">
        <v>1028</v>
      </c>
      <c r="B26" s="13">
        <v>32184</v>
      </c>
      <c r="C26" s="98">
        <f t="shared" ca="1" si="0"/>
        <v>37</v>
      </c>
    </row>
    <row r="27" spans="1:3" x14ac:dyDescent="0.2">
      <c r="A27" s="1" t="s">
        <v>1301</v>
      </c>
      <c r="B27" s="15">
        <v>27384</v>
      </c>
      <c r="C27" s="98">
        <f t="shared" ca="1" si="0"/>
        <v>51</v>
      </c>
    </row>
    <row r="28" spans="1:3" x14ac:dyDescent="0.2">
      <c r="A28" s="1" t="s">
        <v>534</v>
      </c>
      <c r="B28" s="15">
        <v>25836</v>
      </c>
      <c r="C28" s="98">
        <f t="shared" ca="1" si="0"/>
        <v>55</v>
      </c>
    </row>
    <row r="29" spans="1:3" x14ac:dyDescent="0.2">
      <c r="A29" s="1" t="s">
        <v>287</v>
      </c>
      <c r="B29" s="15">
        <v>30762</v>
      </c>
      <c r="C29" s="98">
        <f t="shared" ca="1" si="0"/>
        <v>41</v>
      </c>
    </row>
    <row r="30" spans="1:3" x14ac:dyDescent="0.2">
      <c r="A30" s="1" t="s">
        <v>1302</v>
      </c>
      <c r="B30" s="15">
        <v>25346</v>
      </c>
      <c r="C30" s="98">
        <f t="shared" ca="1" si="0"/>
        <v>56</v>
      </c>
    </row>
    <row r="31" spans="1:3" x14ac:dyDescent="0.2">
      <c r="A31" t="s">
        <v>83</v>
      </c>
      <c r="B31" s="10">
        <v>28389</v>
      </c>
      <c r="C31" s="98">
        <f t="shared" ca="1" si="0"/>
        <v>48</v>
      </c>
    </row>
    <row r="32" spans="1:3" x14ac:dyDescent="0.2">
      <c r="A32" t="s">
        <v>994</v>
      </c>
      <c r="B32" s="12">
        <v>1956</v>
      </c>
      <c r="C32" s="98">
        <f t="shared" ca="1" si="0"/>
        <v>120</v>
      </c>
    </row>
    <row r="33" spans="1:3" x14ac:dyDescent="0.2">
      <c r="A33" t="s">
        <v>90</v>
      </c>
      <c r="B33" s="10">
        <v>19131</v>
      </c>
      <c r="C33" s="98">
        <f t="shared" ca="1" si="0"/>
        <v>73</v>
      </c>
    </row>
    <row r="34" spans="1:3" x14ac:dyDescent="0.2">
      <c r="A34" t="s">
        <v>94</v>
      </c>
      <c r="B34" s="10">
        <v>16073</v>
      </c>
      <c r="C34" s="98">
        <f t="shared" ca="1" si="0"/>
        <v>82</v>
      </c>
    </row>
    <row r="35" spans="1:3" x14ac:dyDescent="0.2">
      <c r="A35" s="1" t="s">
        <v>606</v>
      </c>
      <c r="B35" s="15">
        <v>27609</v>
      </c>
      <c r="C35" s="98">
        <f t="shared" ca="1" si="0"/>
        <v>50</v>
      </c>
    </row>
    <row r="36" spans="1:3" x14ac:dyDescent="0.2">
      <c r="A36" s="4" t="s">
        <v>687</v>
      </c>
      <c r="B36" s="15">
        <v>27163</v>
      </c>
      <c r="C36" s="98">
        <f t="shared" ca="1" si="0"/>
        <v>51</v>
      </c>
    </row>
    <row r="37" spans="1:3" x14ac:dyDescent="0.2">
      <c r="A37" t="s">
        <v>344</v>
      </c>
      <c r="B37" s="10">
        <v>18836</v>
      </c>
      <c r="C37" s="98">
        <f t="shared" ca="1" si="0"/>
        <v>74</v>
      </c>
    </row>
    <row r="38" spans="1:3" x14ac:dyDescent="0.2">
      <c r="A38" s="1" t="s">
        <v>274</v>
      </c>
      <c r="B38" s="15">
        <v>28329</v>
      </c>
      <c r="C38" s="98">
        <f t="shared" ca="1" si="0"/>
        <v>48</v>
      </c>
    </row>
    <row r="39" spans="1:3" x14ac:dyDescent="0.2">
      <c r="A39" s="1" t="s">
        <v>1120</v>
      </c>
      <c r="B39" s="15">
        <v>21856</v>
      </c>
      <c r="C39" s="98">
        <f t="shared" ca="1" si="0"/>
        <v>66</v>
      </c>
    </row>
    <row r="40" spans="1:3" x14ac:dyDescent="0.2">
      <c r="A40" s="1" t="s">
        <v>652</v>
      </c>
      <c r="B40" s="15">
        <v>21856</v>
      </c>
      <c r="C40" s="98">
        <f t="shared" ca="1" si="0"/>
        <v>66</v>
      </c>
    </row>
    <row r="41" spans="1:3" x14ac:dyDescent="0.2">
      <c r="A41" t="s">
        <v>1303</v>
      </c>
      <c r="B41" s="10">
        <v>16860</v>
      </c>
      <c r="C41" s="98">
        <f t="shared" ca="1" si="0"/>
        <v>79</v>
      </c>
    </row>
    <row r="42" spans="1:3" x14ac:dyDescent="0.2">
      <c r="A42" s="1" t="s">
        <v>617</v>
      </c>
      <c r="B42" s="15">
        <v>29242</v>
      </c>
      <c r="C42" s="98">
        <f t="shared" ca="1" si="0"/>
        <v>46</v>
      </c>
    </row>
    <row r="43" spans="1:3" x14ac:dyDescent="0.2">
      <c r="A43" s="1" t="s">
        <v>734</v>
      </c>
      <c r="B43" s="23"/>
      <c r="C43" s="98">
        <f t="shared" ca="1" si="0"/>
        <v>126</v>
      </c>
    </row>
    <row r="44" spans="1:3" x14ac:dyDescent="0.2">
      <c r="A44" t="s">
        <v>230</v>
      </c>
      <c r="B44" s="10">
        <v>19769</v>
      </c>
      <c r="C44" s="98">
        <f t="shared" ca="1" si="0"/>
        <v>71</v>
      </c>
    </row>
    <row r="45" spans="1:3" x14ac:dyDescent="0.2">
      <c r="A45" t="s">
        <v>460</v>
      </c>
      <c r="B45" s="11">
        <v>1933</v>
      </c>
      <c r="C45" s="98">
        <f t="shared" ca="1" si="0"/>
        <v>120</v>
      </c>
    </row>
    <row r="46" spans="1:3" x14ac:dyDescent="0.2">
      <c r="A46" t="s">
        <v>435</v>
      </c>
      <c r="B46" s="10">
        <v>15193</v>
      </c>
      <c r="C46" s="98">
        <f t="shared" ca="1" si="0"/>
        <v>84</v>
      </c>
    </row>
    <row r="47" spans="1:3" x14ac:dyDescent="0.2">
      <c r="A47" t="s">
        <v>410</v>
      </c>
      <c r="B47" s="10">
        <v>19851</v>
      </c>
      <c r="C47" s="98">
        <f t="shared" ca="1" si="0"/>
        <v>71</v>
      </c>
    </row>
    <row r="48" spans="1:3" x14ac:dyDescent="0.2">
      <c r="A48" t="s">
        <v>1304</v>
      </c>
      <c r="B48" s="10">
        <v>22341</v>
      </c>
      <c r="C48" s="98">
        <f t="shared" ca="1" si="0"/>
        <v>64</v>
      </c>
    </row>
    <row r="49" spans="1:3" x14ac:dyDescent="0.2">
      <c r="A49" t="s">
        <v>909</v>
      </c>
      <c r="B49" s="10">
        <v>16299</v>
      </c>
      <c r="C49" s="98">
        <f t="shared" ca="1" si="0"/>
        <v>81</v>
      </c>
    </row>
    <row r="50" spans="1:3" x14ac:dyDescent="0.2">
      <c r="A50" s="1" t="s">
        <v>731</v>
      </c>
      <c r="B50" s="15">
        <v>18095</v>
      </c>
      <c r="C50" s="98">
        <f t="shared" ca="1" si="0"/>
        <v>76</v>
      </c>
    </row>
    <row r="51" spans="1:3" x14ac:dyDescent="0.2">
      <c r="A51" s="1" t="s">
        <v>576</v>
      </c>
      <c r="B51" s="15">
        <v>26963</v>
      </c>
      <c r="C51" s="98">
        <f t="shared" ca="1" si="0"/>
        <v>52</v>
      </c>
    </row>
    <row r="52" spans="1:3" x14ac:dyDescent="0.2">
      <c r="A52" t="s">
        <v>88</v>
      </c>
      <c r="B52" s="10">
        <v>21664</v>
      </c>
      <c r="C52" s="98">
        <f t="shared" ca="1" si="0"/>
        <v>66</v>
      </c>
    </row>
    <row r="53" spans="1:3" x14ac:dyDescent="0.2">
      <c r="A53" t="s">
        <v>749</v>
      </c>
      <c r="B53" s="10">
        <v>20753</v>
      </c>
      <c r="C53" s="98">
        <f t="shared" ca="1" si="0"/>
        <v>69</v>
      </c>
    </row>
    <row r="54" spans="1:3" x14ac:dyDescent="0.2">
      <c r="A54" t="s">
        <v>1305</v>
      </c>
      <c r="B54" s="10">
        <v>20991</v>
      </c>
      <c r="C54" s="98">
        <f t="shared" ca="1" si="0"/>
        <v>68</v>
      </c>
    </row>
    <row r="55" spans="1:3" x14ac:dyDescent="0.2">
      <c r="A55" s="1" t="s">
        <v>589</v>
      </c>
      <c r="B55" s="15">
        <v>25281</v>
      </c>
      <c r="C55" s="98">
        <f t="shared" ca="1" si="0"/>
        <v>56</v>
      </c>
    </row>
    <row r="56" spans="1:3" x14ac:dyDescent="0.2">
      <c r="A56" s="1" t="s">
        <v>547</v>
      </c>
      <c r="B56" s="15">
        <v>10594</v>
      </c>
      <c r="C56" s="98">
        <f t="shared" ca="1" si="0"/>
        <v>97</v>
      </c>
    </row>
    <row r="57" spans="1:3" x14ac:dyDescent="0.2">
      <c r="A57" s="1" t="s">
        <v>594</v>
      </c>
      <c r="B57" s="15">
        <v>23105</v>
      </c>
      <c r="C57" s="98">
        <f t="shared" ca="1" si="0"/>
        <v>62</v>
      </c>
    </row>
    <row r="58" spans="1:3" x14ac:dyDescent="0.2">
      <c r="A58" t="s">
        <v>1306</v>
      </c>
      <c r="B58" s="10">
        <v>21673</v>
      </c>
      <c r="C58" s="98">
        <f t="shared" ca="1" si="0"/>
        <v>66</v>
      </c>
    </row>
    <row r="59" spans="1:3" x14ac:dyDescent="0.2">
      <c r="A59" t="s">
        <v>1307</v>
      </c>
      <c r="B59" s="10">
        <v>15392</v>
      </c>
      <c r="C59" s="98">
        <f t="shared" ca="1" si="0"/>
        <v>83</v>
      </c>
    </row>
    <row r="60" spans="1:3" x14ac:dyDescent="0.2">
      <c r="A60" t="s">
        <v>188</v>
      </c>
      <c r="B60" s="10">
        <v>11619</v>
      </c>
      <c r="C60" s="98">
        <f t="shared" ca="1" si="0"/>
        <v>94</v>
      </c>
    </row>
    <row r="61" spans="1:3" x14ac:dyDescent="0.2">
      <c r="A61" t="s">
        <v>1308</v>
      </c>
      <c r="B61" s="10">
        <v>29328</v>
      </c>
      <c r="C61" s="98">
        <f t="shared" ca="1" si="0"/>
        <v>45</v>
      </c>
    </row>
    <row r="62" spans="1:3" x14ac:dyDescent="0.2">
      <c r="A62" t="s">
        <v>314</v>
      </c>
      <c r="B62" s="10">
        <v>29918</v>
      </c>
      <c r="C62" s="98">
        <f t="shared" ca="1" si="0"/>
        <v>44</v>
      </c>
    </row>
    <row r="63" spans="1:3" x14ac:dyDescent="0.2">
      <c r="A63" t="s">
        <v>116</v>
      </c>
      <c r="B63" s="10">
        <v>12913</v>
      </c>
      <c r="C63" s="98">
        <f t="shared" ca="1" si="0"/>
        <v>90</v>
      </c>
    </row>
    <row r="64" spans="1:3" x14ac:dyDescent="0.2">
      <c r="A64" t="s">
        <v>172</v>
      </c>
      <c r="B64" s="10">
        <v>26471</v>
      </c>
      <c r="C64" s="98">
        <f t="shared" ca="1" si="0"/>
        <v>53</v>
      </c>
    </row>
    <row r="65" spans="1:3" x14ac:dyDescent="0.2">
      <c r="A65" t="s">
        <v>453</v>
      </c>
      <c r="B65" s="11">
        <v>1944</v>
      </c>
      <c r="C65" s="98">
        <f t="shared" ca="1" si="0"/>
        <v>120</v>
      </c>
    </row>
    <row r="66" spans="1:3" x14ac:dyDescent="0.2">
      <c r="A66" t="s">
        <v>1309</v>
      </c>
      <c r="B66" s="95">
        <v>27600</v>
      </c>
      <c r="C66" s="98">
        <f t="shared" ca="1" si="0"/>
        <v>50</v>
      </c>
    </row>
    <row r="67" spans="1:3" x14ac:dyDescent="0.2">
      <c r="A67" t="s">
        <v>356</v>
      </c>
      <c r="B67" s="10">
        <v>13558</v>
      </c>
      <c r="C67" s="98">
        <f t="shared" ref="C67:C130" ca="1" si="1">DATEDIF(B67,TODAY(),"Y")</f>
        <v>88</v>
      </c>
    </row>
    <row r="68" spans="1:3" x14ac:dyDescent="0.2">
      <c r="A68" t="s">
        <v>841</v>
      </c>
      <c r="B68" s="10">
        <v>19126</v>
      </c>
      <c r="C68" s="98">
        <f t="shared" ca="1" si="1"/>
        <v>73</v>
      </c>
    </row>
    <row r="69" spans="1:3" x14ac:dyDescent="0.2">
      <c r="A69" t="s">
        <v>160</v>
      </c>
      <c r="B69" s="10">
        <v>23743</v>
      </c>
      <c r="C69" s="98">
        <f t="shared" ca="1" si="1"/>
        <v>61</v>
      </c>
    </row>
    <row r="70" spans="1:3" x14ac:dyDescent="0.2">
      <c r="A70" t="s">
        <v>346</v>
      </c>
      <c r="B70" s="10">
        <v>13180</v>
      </c>
      <c r="C70" s="98">
        <f t="shared" ca="1" si="1"/>
        <v>90</v>
      </c>
    </row>
    <row r="71" spans="1:3" x14ac:dyDescent="0.2">
      <c r="A71" t="s">
        <v>377</v>
      </c>
      <c r="B71" s="10">
        <v>23808</v>
      </c>
      <c r="C71" s="98">
        <f t="shared" ca="1" si="1"/>
        <v>60</v>
      </c>
    </row>
    <row r="72" spans="1:3" x14ac:dyDescent="0.2">
      <c r="A72" s="1" t="s">
        <v>971</v>
      </c>
      <c r="B72" s="15">
        <v>21476</v>
      </c>
      <c r="C72" s="98">
        <f t="shared" ca="1" si="1"/>
        <v>67</v>
      </c>
    </row>
    <row r="73" spans="1:3" x14ac:dyDescent="0.2">
      <c r="A73" s="1" t="s">
        <v>1033</v>
      </c>
      <c r="B73" s="15">
        <v>32342</v>
      </c>
      <c r="C73" s="98">
        <f t="shared" ca="1" si="1"/>
        <v>37</v>
      </c>
    </row>
    <row r="74" spans="1:3" x14ac:dyDescent="0.2">
      <c r="A74" t="s">
        <v>740</v>
      </c>
      <c r="B74" s="10">
        <v>14726</v>
      </c>
      <c r="C74" s="98">
        <f t="shared" ca="1" si="1"/>
        <v>85</v>
      </c>
    </row>
    <row r="75" spans="1:3" x14ac:dyDescent="0.2">
      <c r="A75" s="1" t="s">
        <v>577</v>
      </c>
      <c r="B75" s="15">
        <v>16032</v>
      </c>
      <c r="C75" s="98">
        <f t="shared" ca="1" si="1"/>
        <v>82</v>
      </c>
    </row>
    <row r="76" spans="1:3" x14ac:dyDescent="0.2">
      <c r="A76" t="s">
        <v>479</v>
      </c>
      <c r="B76" s="10">
        <v>28532</v>
      </c>
      <c r="C76" s="98">
        <f t="shared" ca="1" si="1"/>
        <v>47</v>
      </c>
    </row>
    <row r="77" spans="1:3" x14ac:dyDescent="0.2">
      <c r="A77" t="s">
        <v>470</v>
      </c>
      <c r="B77" s="10">
        <v>27943</v>
      </c>
      <c r="C77" s="98">
        <f t="shared" ca="1" si="1"/>
        <v>49</v>
      </c>
    </row>
    <row r="78" spans="1:3" x14ac:dyDescent="0.2">
      <c r="A78" t="s">
        <v>1063</v>
      </c>
      <c r="B78" s="10">
        <v>25118</v>
      </c>
      <c r="C78" s="98">
        <f t="shared" ca="1" si="1"/>
        <v>57</v>
      </c>
    </row>
    <row r="79" spans="1:3" x14ac:dyDescent="0.2">
      <c r="A79" t="s">
        <v>905</v>
      </c>
      <c r="B79" s="10">
        <v>26019</v>
      </c>
      <c r="C79" s="98">
        <f t="shared" ca="1" si="1"/>
        <v>54</v>
      </c>
    </row>
    <row r="80" spans="1:3" x14ac:dyDescent="0.2">
      <c r="A80" t="s">
        <v>379</v>
      </c>
      <c r="B80" s="11">
        <v>1956</v>
      </c>
      <c r="C80" s="98">
        <f t="shared" ca="1" si="1"/>
        <v>120</v>
      </c>
    </row>
    <row r="81" spans="1:3" x14ac:dyDescent="0.2">
      <c r="A81" t="s">
        <v>1310</v>
      </c>
      <c r="B81" s="10">
        <v>20509</v>
      </c>
      <c r="C81" s="98">
        <f t="shared" ca="1" si="1"/>
        <v>69</v>
      </c>
    </row>
    <row r="82" spans="1:3" x14ac:dyDescent="0.2">
      <c r="A82" t="s">
        <v>404</v>
      </c>
      <c r="B82" s="10">
        <v>13957</v>
      </c>
      <c r="C82" s="98">
        <f t="shared" ca="1" si="1"/>
        <v>87</v>
      </c>
    </row>
    <row r="83" spans="1:3" x14ac:dyDescent="0.2">
      <c r="A83" t="s">
        <v>744</v>
      </c>
      <c r="B83" s="10">
        <v>16447</v>
      </c>
      <c r="C83" s="98">
        <f t="shared" ca="1" si="1"/>
        <v>81</v>
      </c>
    </row>
    <row r="84" spans="1:3" x14ac:dyDescent="0.2">
      <c r="A84" t="s">
        <v>383</v>
      </c>
      <c r="B84" s="11">
        <v>1954</v>
      </c>
      <c r="C84" s="98">
        <f t="shared" ca="1" si="1"/>
        <v>120</v>
      </c>
    </row>
    <row r="85" spans="1:3" x14ac:dyDescent="0.2">
      <c r="A85" t="s">
        <v>241</v>
      </c>
      <c r="B85" s="10">
        <v>27286</v>
      </c>
      <c r="C85" s="98">
        <f t="shared" ca="1" si="1"/>
        <v>51</v>
      </c>
    </row>
    <row r="86" spans="1:3" x14ac:dyDescent="0.2">
      <c r="A86" t="s">
        <v>310</v>
      </c>
      <c r="B86" s="10">
        <v>29963</v>
      </c>
      <c r="C86" s="98">
        <f t="shared" ca="1" si="1"/>
        <v>44</v>
      </c>
    </row>
    <row r="87" spans="1:3" x14ac:dyDescent="0.2">
      <c r="A87" t="s">
        <v>484</v>
      </c>
      <c r="B87" s="10">
        <v>21268</v>
      </c>
      <c r="C87" s="98">
        <f t="shared" ca="1" si="1"/>
        <v>67</v>
      </c>
    </row>
    <row r="88" spans="1:3" x14ac:dyDescent="0.2">
      <c r="A88" s="1" t="s">
        <v>777</v>
      </c>
      <c r="B88" s="23"/>
      <c r="C88" s="98">
        <f t="shared" ca="1" si="1"/>
        <v>126</v>
      </c>
    </row>
    <row r="89" spans="1:3" x14ac:dyDescent="0.2">
      <c r="A89" t="s">
        <v>939</v>
      </c>
      <c r="B89" s="10">
        <v>30130</v>
      </c>
      <c r="C89" s="98">
        <f t="shared" ca="1" si="1"/>
        <v>43</v>
      </c>
    </row>
    <row r="90" spans="1:3" x14ac:dyDescent="0.2">
      <c r="A90" t="s">
        <v>202</v>
      </c>
      <c r="B90" s="10">
        <v>28030</v>
      </c>
      <c r="C90" s="98">
        <f t="shared" ca="1" si="1"/>
        <v>49</v>
      </c>
    </row>
    <row r="91" spans="1:3" x14ac:dyDescent="0.2">
      <c r="A91" t="s">
        <v>1311</v>
      </c>
      <c r="B91" s="10">
        <v>25419</v>
      </c>
      <c r="C91" s="98">
        <f t="shared" ca="1" si="1"/>
        <v>56</v>
      </c>
    </row>
    <row r="92" spans="1:3" x14ac:dyDescent="0.2">
      <c r="A92" t="s">
        <v>418</v>
      </c>
      <c r="B92" s="10">
        <v>17253</v>
      </c>
      <c r="C92" s="98">
        <f t="shared" ca="1" si="1"/>
        <v>78</v>
      </c>
    </row>
    <row r="93" spans="1:3" x14ac:dyDescent="0.2">
      <c r="A93" t="s">
        <v>1312</v>
      </c>
      <c r="B93" s="10">
        <v>25240</v>
      </c>
      <c r="C93" s="98">
        <f t="shared" ca="1" si="1"/>
        <v>57</v>
      </c>
    </row>
    <row r="94" spans="1:3" x14ac:dyDescent="0.2">
      <c r="A94" t="s">
        <v>1313</v>
      </c>
      <c r="B94" s="10">
        <v>25240</v>
      </c>
      <c r="C94" s="98">
        <f t="shared" ca="1" si="1"/>
        <v>57</v>
      </c>
    </row>
    <row r="95" spans="1:3" x14ac:dyDescent="0.2">
      <c r="A95" s="1" t="s">
        <v>543</v>
      </c>
      <c r="B95" s="15">
        <v>16444</v>
      </c>
      <c r="C95" s="98">
        <f t="shared" ca="1" si="1"/>
        <v>81</v>
      </c>
    </row>
    <row r="96" spans="1:3" x14ac:dyDescent="0.2">
      <c r="A96" s="1" t="s">
        <v>591</v>
      </c>
      <c r="B96" s="23">
        <v>1968</v>
      </c>
      <c r="C96" s="98">
        <f t="shared" ca="1" si="1"/>
        <v>120</v>
      </c>
    </row>
    <row r="97" spans="1:3" x14ac:dyDescent="0.2">
      <c r="A97" s="1" t="s">
        <v>1314</v>
      </c>
      <c r="B97" s="15">
        <v>21291</v>
      </c>
      <c r="C97" s="98">
        <f t="shared" ca="1" si="1"/>
        <v>67</v>
      </c>
    </row>
    <row r="98" spans="1:3" x14ac:dyDescent="0.2">
      <c r="A98" s="1" t="s">
        <v>554</v>
      </c>
      <c r="B98" s="23"/>
      <c r="C98" s="98">
        <f t="shared" ca="1" si="1"/>
        <v>126</v>
      </c>
    </row>
    <row r="99" spans="1:3" x14ac:dyDescent="0.2">
      <c r="A99" s="1" t="s">
        <v>941</v>
      </c>
      <c r="B99" s="15">
        <v>25631</v>
      </c>
      <c r="C99" s="98">
        <f t="shared" ca="1" si="1"/>
        <v>55</v>
      </c>
    </row>
    <row r="100" spans="1:3" x14ac:dyDescent="0.2">
      <c r="A100" s="1" t="s">
        <v>1315</v>
      </c>
      <c r="B100" s="15">
        <v>28044</v>
      </c>
      <c r="C100" s="98">
        <f t="shared" ca="1" si="1"/>
        <v>49</v>
      </c>
    </row>
    <row r="101" spans="1:3" x14ac:dyDescent="0.2">
      <c r="A101" t="s">
        <v>921</v>
      </c>
      <c r="B101" s="10">
        <v>26473</v>
      </c>
      <c r="C101" s="98">
        <f t="shared" ca="1" si="1"/>
        <v>53</v>
      </c>
    </row>
    <row r="102" spans="1:3" x14ac:dyDescent="0.2">
      <c r="A102" t="s">
        <v>1002</v>
      </c>
      <c r="B102" s="10">
        <v>26956</v>
      </c>
      <c r="C102" s="98">
        <f t="shared" ca="1" si="1"/>
        <v>52</v>
      </c>
    </row>
    <row r="103" spans="1:3" x14ac:dyDescent="0.2">
      <c r="A103" s="61" t="s">
        <v>318</v>
      </c>
      <c r="B103" s="10">
        <v>25792</v>
      </c>
      <c r="C103" s="98">
        <f t="shared" ca="1" si="1"/>
        <v>55</v>
      </c>
    </row>
    <row r="104" spans="1:3" x14ac:dyDescent="0.2">
      <c r="A104" t="s">
        <v>111</v>
      </c>
      <c r="B104" s="11">
        <v>1941</v>
      </c>
      <c r="C104" s="98">
        <f t="shared" ca="1" si="1"/>
        <v>120</v>
      </c>
    </row>
    <row r="105" spans="1:3" x14ac:dyDescent="0.2">
      <c r="A105" t="s">
        <v>162</v>
      </c>
      <c r="B105" s="10">
        <v>20038</v>
      </c>
      <c r="C105" s="98">
        <f t="shared" ca="1" si="1"/>
        <v>71</v>
      </c>
    </row>
    <row r="106" spans="1:3" x14ac:dyDescent="0.2">
      <c r="A106" t="s">
        <v>1048</v>
      </c>
      <c r="B106" s="10">
        <v>19748</v>
      </c>
      <c r="C106" s="98">
        <f t="shared" ca="1" si="1"/>
        <v>72</v>
      </c>
    </row>
    <row r="107" spans="1:3" x14ac:dyDescent="0.2">
      <c r="A107" s="61" t="s">
        <v>328</v>
      </c>
      <c r="B107" s="10">
        <v>18629</v>
      </c>
      <c r="C107" s="98">
        <f t="shared" ca="1" si="1"/>
        <v>75</v>
      </c>
    </row>
    <row r="108" spans="1:3" x14ac:dyDescent="0.2">
      <c r="A108" t="s">
        <v>152</v>
      </c>
      <c r="B108" s="11">
        <v>1934</v>
      </c>
      <c r="C108" s="98">
        <f t="shared" ca="1" si="1"/>
        <v>120</v>
      </c>
    </row>
    <row r="109" spans="1:3" x14ac:dyDescent="0.2">
      <c r="A109" s="61" t="s">
        <v>306</v>
      </c>
      <c r="B109" s="11">
        <v>1963</v>
      </c>
      <c r="C109" s="98">
        <f t="shared" ca="1" si="1"/>
        <v>120</v>
      </c>
    </row>
    <row r="110" spans="1:3" x14ac:dyDescent="0.2">
      <c r="A110" s="1" t="s">
        <v>195</v>
      </c>
      <c r="B110" s="54">
        <v>27556</v>
      </c>
      <c r="C110" s="98">
        <f t="shared" ca="1" si="1"/>
        <v>50</v>
      </c>
    </row>
    <row r="111" spans="1:3" x14ac:dyDescent="0.2">
      <c r="A111" s="1" t="s">
        <v>1316</v>
      </c>
      <c r="B111" s="15">
        <v>24725</v>
      </c>
      <c r="C111" s="98">
        <f t="shared" ca="1" si="1"/>
        <v>58</v>
      </c>
    </row>
    <row r="112" spans="1:3" x14ac:dyDescent="0.2">
      <c r="A112" t="s">
        <v>409</v>
      </c>
      <c r="B112" s="10">
        <v>25882</v>
      </c>
      <c r="C112" s="98">
        <f t="shared" ca="1" si="1"/>
        <v>55</v>
      </c>
    </row>
    <row r="113" spans="1:3" x14ac:dyDescent="0.2">
      <c r="A113" t="s">
        <v>1317</v>
      </c>
      <c r="B113" s="10">
        <v>29462</v>
      </c>
      <c r="C113" s="98">
        <f t="shared" ca="1" si="1"/>
        <v>45</v>
      </c>
    </row>
    <row r="114" spans="1:3" x14ac:dyDescent="0.2">
      <c r="A114" t="s">
        <v>109</v>
      </c>
      <c r="B114" s="10">
        <v>28219</v>
      </c>
      <c r="C114" s="98">
        <f t="shared" ca="1" si="1"/>
        <v>48</v>
      </c>
    </row>
    <row r="115" spans="1:3" x14ac:dyDescent="0.2">
      <c r="A115" s="1" t="s">
        <v>691</v>
      </c>
      <c r="B115" s="15">
        <v>28254</v>
      </c>
      <c r="C115" s="98">
        <f t="shared" ca="1" si="1"/>
        <v>48</v>
      </c>
    </row>
    <row r="116" spans="1:3" x14ac:dyDescent="0.2">
      <c r="A116" t="s">
        <v>1318</v>
      </c>
      <c r="B116" s="10">
        <v>19385</v>
      </c>
      <c r="C116" s="98">
        <f t="shared" ca="1" si="1"/>
        <v>73</v>
      </c>
    </row>
    <row r="117" spans="1:3" x14ac:dyDescent="0.2">
      <c r="A117" t="s">
        <v>52</v>
      </c>
      <c r="B117" s="11">
        <v>1924</v>
      </c>
      <c r="C117" s="98">
        <f t="shared" ca="1" si="1"/>
        <v>120</v>
      </c>
    </row>
    <row r="118" spans="1:3" x14ac:dyDescent="0.2">
      <c r="A118" t="s">
        <v>245</v>
      </c>
      <c r="B118" s="10">
        <v>19587</v>
      </c>
      <c r="C118" s="98">
        <f t="shared" ca="1" si="1"/>
        <v>72</v>
      </c>
    </row>
    <row r="119" spans="1:3" x14ac:dyDescent="0.2">
      <c r="A119" t="s">
        <v>22</v>
      </c>
      <c r="B119" s="10">
        <v>25083</v>
      </c>
      <c r="C119" s="98">
        <f t="shared" ca="1" si="1"/>
        <v>57</v>
      </c>
    </row>
    <row r="120" spans="1:3" x14ac:dyDescent="0.2">
      <c r="A120" t="s">
        <v>347</v>
      </c>
      <c r="B120" s="10">
        <v>16314</v>
      </c>
      <c r="C120" s="98">
        <f t="shared" ca="1" si="1"/>
        <v>81</v>
      </c>
    </row>
    <row r="121" spans="1:3" x14ac:dyDescent="0.2">
      <c r="A121" t="s">
        <v>1319</v>
      </c>
      <c r="B121" s="10">
        <v>28895</v>
      </c>
      <c r="C121" s="98">
        <f t="shared" ca="1" si="1"/>
        <v>46</v>
      </c>
    </row>
    <row r="122" spans="1:3" x14ac:dyDescent="0.2">
      <c r="A122" t="s">
        <v>1320</v>
      </c>
      <c r="B122" s="10">
        <v>18023</v>
      </c>
      <c r="C122" s="98">
        <f t="shared" ca="1" si="1"/>
        <v>76</v>
      </c>
    </row>
    <row r="123" spans="1:3" x14ac:dyDescent="0.2">
      <c r="A123" t="s">
        <v>212</v>
      </c>
      <c r="B123" s="10">
        <v>13492</v>
      </c>
      <c r="C123" s="98">
        <f t="shared" ca="1" si="1"/>
        <v>89</v>
      </c>
    </row>
    <row r="124" spans="1:3" x14ac:dyDescent="0.2">
      <c r="A124" t="s">
        <v>165</v>
      </c>
      <c r="B124" s="10">
        <v>20696</v>
      </c>
      <c r="C124" s="98">
        <f t="shared" ca="1" si="1"/>
        <v>69</v>
      </c>
    </row>
    <row r="125" spans="1:3" x14ac:dyDescent="0.2">
      <c r="A125" t="s">
        <v>351</v>
      </c>
      <c r="B125" s="11">
        <v>1940</v>
      </c>
      <c r="C125" s="98">
        <f t="shared" ca="1" si="1"/>
        <v>120</v>
      </c>
    </row>
    <row r="126" spans="1:3" x14ac:dyDescent="0.2">
      <c r="A126" t="s">
        <v>69</v>
      </c>
      <c r="B126" s="10">
        <v>19231</v>
      </c>
      <c r="C126" s="98">
        <f t="shared" ca="1" si="1"/>
        <v>73</v>
      </c>
    </row>
    <row r="127" spans="1:3" x14ac:dyDescent="0.2">
      <c r="A127" s="1" t="s">
        <v>618</v>
      </c>
      <c r="B127" s="15">
        <v>24465</v>
      </c>
      <c r="C127" s="98">
        <f t="shared" ca="1" si="1"/>
        <v>59</v>
      </c>
    </row>
    <row r="128" spans="1:3" x14ac:dyDescent="0.2">
      <c r="A128" t="s">
        <v>1321</v>
      </c>
      <c r="B128" s="10">
        <v>12579</v>
      </c>
      <c r="C128" s="98">
        <f t="shared" ca="1" si="1"/>
        <v>91</v>
      </c>
    </row>
    <row r="129" spans="1:3" x14ac:dyDescent="0.2">
      <c r="A129" s="1" t="s">
        <v>624</v>
      </c>
      <c r="B129" s="23"/>
      <c r="C129" s="98">
        <f t="shared" ca="1" si="1"/>
        <v>126</v>
      </c>
    </row>
    <row r="130" spans="1:3" x14ac:dyDescent="0.2">
      <c r="A130" s="1" t="s">
        <v>1322</v>
      </c>
      <c r="B130" s="15">
        <v>25706</v>
      </c>
      <c r="C130" s="98">
        <f t="shared" ca="1" si="1"/>
        <v>55</v>
      </c>
    </row>
    <row r="131" spans="1:3" ht="16" x14ac:dyDescent="0.2">
      <c r="A131" s="72" t="s">
        <v>1323</v>
      </c>
      <c r="B131" s="96">
        <v>24654</v>
      </c>
      <c r="C131" s="98">
        <f t="shared" ref="C131:C194" ca="1" si="2">DATEDIF(B131,TODAY(),"Y")</f>
        <v>58</v>
      </c>
    </row>
    <row r="132" spans="1:3" x14ac:dyDescent="0.2">
      <c r="A132" s="1" t="s">
        <v>584</v>
      </c>
      <c r="B132" s="15">
        <v>28346</v>
      </c>
      <c r="C132" s="98">
        <f t="shared" ca="1" si="2"/>
        <v>48</v>
      </c>
    </row>
    <row r="133" spans="1:3" x14ac:dyDescent="0.2">
      <c r="A133" t="s">
        <v>1324</v>
      </c>
      <c r="B133" s="10">
        <v>13801</v>
      </c>
      <c r="C133" s="98">
        <f t="shared" ca="1" si="2"/>
        <v>88</v>
      </c>
    </row>
    <row r="134" spans="1:3" x14ac:dyDescent="0.2">
      <c r="A134" t="s">
        <v>815</v>
      </c>
      <c r="B134" s="10">
        <v>31846</v>
      </c>
      <c r="C134" s="98">
        <f t="shared" ca="1" si="2"/>
        <v>38</v>
      </c>
    </row>
    <row r="135" spans="1:3" x14ac:dyDescent="0.2">
      <c r="A135" t="s">
        <v>362</v>
      </c>
      <c r="B135" s="10">
        <v>19228</v>
      </c>
      <c r="C135" s="98">
        <f t="shared" ca="1" si="2"/>
        <v>73</v>
      </c>
    </row>
    <row r="136" spans="1:3" x14ac:dyDescent="0.2">
      <c r="A136" t="s">
        <v>924</v>
      </c>
      <c r="B136" s="10">
        <v>21121</v>
      </c>
      <c r="C136" s="98">
        <f t="shared" ca="1" si="2"/>
        <v>68</v>
      </c>
    </row>
    <row r="137" spans="1:3" x14ac:dyDescent="0.2">
      <c r="A137" t="s">
        <v>1107</v>
      </c>
      <c r="B137" s="10">
        <v>16283</v>
      </c>
      <c r="C137" s="98">
        <f t="shared" ca="1" si="2"/>
        <v>81</v>
      </c>
    </row>
    <row r="138" spans="1:3" x14ac:dyDescent="0.2">
      <c r="A138" t="s">
        <v>149</v>
      </c>
      <c r="B138" s="10">
        <v>16742</v>
      </c>
      <c r="C138" s="98">
        <f t="shared" ca="1" si="2"/>
        <v>80</v>
      </c>
    </row>
    <row r="139" spans="1:3" x14ac:dyDescent="0.2">
      <c r="A139" s="61" t="s">
        <v>387</v>
      </c>
      <c r="B139" s="10">
        <v>22923</v>
      </c>
      <c r="C139" s="98">
        <f t="shared" ca="1" si="2"/>
        <v>63</v>
      </c>
    </row>
    <row r="140" spans="1:3" x14ac:dyDescent="0.2">
      <c r="A140" t="s">
        <v>1325</v>
      </c>
      <c r="B140" s="10">
        <v>26436</v>
      </c>
      <c r="C140" s="98">
        <f t="shared" ca="1" si="2"/>
        <v>53</v>
      </c>
    </row>
    <row r="141" spans="1:3" x14ac:dyDescent="0.2">
      <c r="A141" t="s">
        <v>488</v>
      </c>
      <c r="B141" s="10">
        <v>22301</v>
      </c>
      <c r="C141" s="98">
        <f t="shared" ca="1" si="2"/>
        <v>65</v>
      </c>
    </row>
    <row r="142" spans="1:3" x14ac:dyDescent="0.2">
      <c r="A142" t="s">
        <v>59</v>
      </c>
      <c r="B142" s="10">
        <v>10618</v>
      </c>
      <c r="C142" s="98">
        <f t="shared" ca="1" si="2"/>
        <v>97</v>
      </c>
    </row>
    <row r="143" spans="1:3" x14ac:dyDescent="0.2">
      <c r="A143" t="s">
        <v>1326</v>
      </c>
      <c r="B143" s="10">
        <v>16000</v>
      </c>
      <c r="C143" s="98">
        <f t="shared" ca="1" si="2"/>
        <v>82</v>
      </c>
    </row>
    <row r="144" spans="1:3" x14ac:dyDescent="0.2">
      <c r="A144" t="s">
        <v>32</v>
      </c>
      <c r="B144" s="11">
        <v>1956</v>
      </c>
      <c r="C144" s="98">
        <f t="shared" ca="1" si="2"/>
        <v>120</v>
      </c>
    </row>
    <row r="145" spans="1:3" x14ac:dyDescent="0.2">
      <c r="A145" t="s">
        <v>1327</v>
      </c>
      <c r="B145" s="10">
        <v>24877</v>
      </c>
      <c r="C145" s="98">
        <f t="shared" ca="1" si="2"/>
        <v>57</v>
      </c>
    </row>
    <row r="146" spans="1:3" x14ac:dyDescent="0.2">
      <c r="A146" s="1" t="s">
        <v>600</v>
      </c>
      <c r="B146" s="23">
        <v>1977</v>
      </c>
      <c r="C146" s="98">
        <f t="shared" ca="1" si="2"/>
        <v>120</v>
      </c>
    </row>
    <row r="147" spans="1:3" x14ac:dyDescent="0.2">
      <c r="A147" s="1" t="s">
        <v>680</v>
      </c>
      <c r="B147" s="15">
        <v>18954</v>
      </c>
      <c r="C147" s="98">
        <f t="shared" ca="1" si="2"/>
        <v>74</v>
      </c>
    </row>
    <row r="148" spans="1:3" x14ac:dyDescent="0.2">
      <c r="A148" s="1" t="s">
        <v>1018</v>
      </c>
      <c r="B148" s="15">
        <v>19738</v>
      </c>
      <c r="C148" s="98">
        <f t="shared" ca="1" si="2"/>
        <v>72</v>
      </c>
    </row>
    <row r="149" spans="1:3" x14ac:dyDescent="0.2">
      <c r="A149" s="1" t="s">
        <v>688</v>
      </c>
      <c r="B149" s="15">
        <v>27505</v>
      </c>
      <c r="C149" s="98">
        <f t="shared" ca="1" si="2"/>
        <v>50</v>
      </c>
    </row>
    <row r="150" spans="1:3" x14ac:dyDescent="0.2">
      <c r="A150" s="1" t="s">
        <v>844</v>
      </c>
      <c r="B150" s="23">
        <v>1977</v>
      </c>
      <c r="C150" s="98">
        <f t="shared" ca="1" si="2"/>
        <v>120</v>
      </c>
    </row>
    <row r="151" spans="1:3" x14ac:dyDescent="0.2">
      <c r="A151" s="1" t="s">
        <v>538</v>
      </c>
      <c r="B151" s="15">
        <v>24543</v>
      </c>
      <c r="C151" s="98">
        <f t="shared" ca="1" si="2"/>
        <v>58</v>
      </c>
    </row>
    <row r="152" spans="1:3" x14ac:dyDescent="0.2">
      <c r="A152" s="1" t="s">
        <v>1328</v>
      </c>
      <c r="B152" s="15">
        <v>29177</v>
      </c>
      <c r="C152" s="98">
        <f t="shared" ca="1" si="2"/>
        <v>46</v>
      </c>
    </row>
    <row r="153" spans="1:3" x14ac:dyDescent="0.2">
      <c r="A153" s="1" t="s">
        <v>574</v>
      </c>
      <c r="B153" s="15">
        <v>27378</v>
      </c>
      <c r="C153" s="98">
        <f t="shared" ca="1" si="2"/>
        <v>51</v>
      </c>
    </row>
    <row r="154" spans="1:3" x14ac:dyDescent="0.2">
      <c r="A154" s="1" t="s">
        <v>292</v>
      </c>
      <c r="B154" s="15">
        <v>24310</v>
      </c>
      <c r="C154" s="98">
        <f t="shared" ca="1" si="2"/>
        <v>59</v>
      </c>
    </row>
    <row r="155" spans="1:3" x14ac:dyDescent="0.2">
      <c r="A155" s="1" t="s">
        <v>544</v>
      </c>
      <c r="B155" s="15">
        <v>13881</v>
      </c>
      <c r="C155" s="98">
        <f t="shared" ca="1" si="2"/>
        <v>88</v>
      </c>
    </row>
    <row r="156" spans="1:3" x14ac:dyDescent="0.2">
      <c r="A156" s="1" t="s">
        <v>1086</v>
      </c>
      <c r="B156" s="15">
        <v>23473</v>
      </c>
      <c r="C156" s="98">
        <f t="shared" ca="1" si="2"/>
        <v>61</v>
      </c>
    </row>
    <row r="157" spans="1:3" x14ac:dyDescent="0.2">
      <c r="A157" s="1" t="s">
        <v>582</v>
      </c>
      <c r="B157" s="23">
        <v>1954</v>
      </c>
      <c r="C157" s="98">
        <f t="shared" ca="1" si="2"/>
        <v>120</v>
      </c>
    </row>
    <row r="158" spans="1:3" x14ac:dyDescent="0.2">
      <c r="A158" s="1" t="s">
        <v>735</v>
      </c>
      <c r="B158" s="15">
        <v>27290</v>
      </c>
      <c r="C158" s="98">
        <f t="shared" ca="1" si="2"/>
        <v>51</v>
      </c>
    </row>
    <row r="159" spans="1:3" x14ac:dyDescent="0.2">
      <c r="A159" s="61" t="s">
        <v>960</v>
      </c>
      <c r="B159" s="10">
        <v>29714</v>
      </c>
      <c r="C159" s="98">
        <f t="shared" ca="1" si="2"/>
        <v>44</v>
      </c>
    </row>
    <row r="160" spans="1:3" x14ac:dyDescent="0.2">
      <c r="A160" t="s">
        <v>39</v>
      </c>
      <c r="B160" s="10">
        <v>25005</v>
      </c>
      <c r="C160" s="98">
        <f t="shared" ca="1" si="2"/>
        <v>57</v>
      </c>
    </row>
    <row r="161" spans="1:3" x14ac:dyDescent="0.2">
      <c r="A161" t="s">
        <v>1208</v>
      </c>
      <c r="B161" s="10">
        <v>23726</v>
      </c>
      <c r="C161" s="98">
        <f t="shared" ca="1" si="2"/>
        <v>61</v>
      </c>
    </row>
    <row r="162" spans="1:3" x14ac:dyDescent="0.2">
      <c r="A162" s="1" t="s">
        <v>1329</v>
      </c>
      <c r="B162" s="15">
        <v>26057</v>
      </c>
      <c r="C162" s="98">
        <f t="shared" ca="1" si="2"/>
        <v>54</v>
      </c>
    </row>
    <row r="163" spans="1:3" x14ac:dyDescent="0.2">
      <c r="A163" t="s">
        <v>420</v>
      </c>
      <c r="B163" s="10">
        <v>13945</v>
      </c>
      <c r="C163" s="98">
        <f t="shared" ca="1" si="2"/>
        <v>87</v>
      </c>
    </row>
    <row r="164" spans="1:3" x14ac:dyDescent="0.2">
      <c r="A164" s="1" t="s">
        <v>796</v>
      </c>
      <c r="B164" s="15">
        <v>23773</v>
      </c>
      <c r="C164" s="98">
        <f t="shared" ca="1" si="2"/>
        <v>61</v>
      </c>
    </row>
    <row r="165" spans="1:3" x14ac:dyDescent="0.2">
      <c r="A165" t="s">
        <v>132</v>
      </c>
      <c r="B165" s="11">
        <v>1954</v>
      </c>
      <c r="C165" s="98">
        <f t="shared" ca="1" si="2"/>
        <v>120</v>
      </c>
    </row>
    <row r="166" spans="1:3" x14ac:dyDescent="0.2">
      <c r="A166" t="s">
        <v>228</v>
      </c>
      <c r="B166" s="10">
        <v>16083</v>
      </c>
      <c r="C166" s="98">
        <f t="shared" ca="1" si="2"/>
        <v>82</v>
      </c>
    </row>
    <row r="167" spans="1:3" x14ac:dyDescent="0.2">
      <c r="A167" t="s">
        <v>437</v>
      </c>
      <c r="B167" s="11">
        <v>1934</v>
      </c>
      <c r="C167" s="98">
        <f t="shared" ca="1" si="2"/>
        <v>120</v>
      </c>
    </row>
    <row r="168" spans="1:3" x14ac:dyDescent="0.2">
      <c r="A168" t="s">
        <v>333</v>
      </c>
      <c r="B168" s="10">
        <v>30060</v>
      </c>
      <c r="C168" s="98">
        <f t="shared" ca="1" si="2"/>
        <v>43</v>
      </c>
    </row>
    <row r="169" spans="1:3" x14ac:dyDescent="0.2">
      <c r="A169" t="s">
        <v>872</v>
      </c>
      <c r="B169" s="10">
        <v>22488</v>
      </c>
      <c r="C169" s="98">
        <f t="shared" ca="1" si="2"/>
        <v>64</v>
      </c>
    </row>
    <row r="170" spans="1:3" x14ac:dyDescent="0.2">
      <c r="A170" t="s">
        <v>1079</v>
      </c>
      <c r="B170" s="13">
        <v>25099</v>
      </c>
      <c r="C170" s="98">
        <f t="shared" ca="1" si="2"/>
        <v>57</v>
      </c>
    </row>
    <row r="171" spans="1:3" x14ac:dyDescent="0.2">
      <c r="A171" t="s">
        <v>439</v>
      </c>
      <c r="B171" s="10">
        <v>12546</v>
      </c>
      <c r="C171" s="98">
        <f t="shared" ca="1" si="2"/>
        <v>91</v>
      </c>
    </row>
    <row r="172" spans="1:3" x14ac:dyDescent="0.2">
      <c r="A172" s="1" t="s">
        <v>658</v>
      </c>
      <c r="B172" s="15">
        <v>24998</v>
      </c>
      <c r="C172" s="98">
        <f t="shared" ca="1" si="2"/>
        <v>57</v>
      </c>
    </row>
    <row r="173" spans="1:3" x14ac:dyDescent="0.2">
      <c r="A173" t="s">
        <v>193</v>
      </c>
      <c r="B173" s="11">
        <v>1941</v>
      </c>
      <c r="C173" s="98">
        <f t="shared" ca="1" si="2"/>
        <v>120</v>
      </c>
    </row>
    <row r="174" spans="1:3" x14ac:dyDescent="0.2">
      <c r="A174" t="s">
        <v>1330</v>
      </c>
      <c r="B174" s="10">
        <v>26404</v>
      </c>
      <c r="C174" s="98">
        <f t="shared" ca="1" si="2"/>
        <v>53</v>
      </c>
    </row>
    <row r="175" spans="1:3" x14ac:dyDescent="0.2">
      <c r="A175" t="s">
        <v>481</v>
      </c>
      <c r="B175" s="10">
        <v>24705</v>
      </c>
      <c r="C175" s="98">
        <f t="shared" ca="1" si="2"/>
        <v>58</v>
      </c>
    </row>
    <row r="176" spans="1:3" x14ac:dyDescent="0.2">
      <c r="A176" t="s">
        <v>135</v>
      </c>
      <c r="B176" s="11">
        <v>1942</v>
      </c>
      <c r="C176" s="98">
        <f t="shared" ca="1" si="2"/>
        <v>120</v>
      </c>
    </row>
    <row r="177" spans="1:3" x14ac:dyDescent="0.2">
      <c r="A177" t="s">
        <v>6</v>
      </c>
      <c r="B177" s="10">
        <v>28150</v>
      </c>
      <c r="C177" s="98">
        <f t="shared" ca="1" si="2"/>
        <v>49</v>
      </c>
    </row>
    <row r="178" spans="1:3" x14ac:dyDescent="0.2">
      <c r="A178" t="s">
        <v>329</v>
      </c>
      <c r="B178" s="10">
        <v>15073</v>
      </c>
      <c r="C178" s="98">
        <f t="shared" ca="1" si="2"/>
        <v>84</v>
      </c>
    </row>
    <row r="179" spans="1:3" x14ac:dyDescent="0.2">
      <c r="A179" t="s">
        <v>1225</v>
      </c>
      <c r="B179" s="10">
        <v>25478</v>
      </c>
      <c r="C179" s="98">
        <f t="shared" ca="1" si="2"/>
        <v>56</v>
      </c>
    </row>
    <row r="180" spans="1:3" x14ac:dyDescent="0.2">
      <c r="A180" t="s">
        <v>431</v>
      </c>
      <c r="B180" s="11">
        <v>1943</v>
      </c>
      <c r="C180" s="98">
        <f t="shared" ca="1" si="2"/>
        <v>120</v>
      </c>
    </row>
    <row r="181" spans="1:3" x14ac:dyDescent="0.2">
      <c r="A181" t="s">
        <v>1331</v>
      </c>
      <c r="B181" s="10">
        <v>24468</v>
      </c>
      <c r="C181" s="98">
        <f t="shared" ca="1" si="2"/>
        <v>59</v>
      </c>
    </row>
    <row r="182" spans="1:3" x14ac:dyDescent="0.2">
      <c r="A182" s="4" t="s">
        <v>771</v>
      </c>
      <c r="B182" s="15">
        <v>31492</v>
      </c>
      <c r="C182" s="98">
        <f t="shared" ca="1" si="2"/>
        <v>39</v>
      </c>
    </row>
    <row r="183" spans="1:3" x14ac:dyDescent="0.2">
      <c r="A183" s="1" t="s">
        <v>988</v>
      </c>
      <c r="B183" s="15">
        <v>27948</v>
      </c>
      <c r="C183" s="98">
        <f t="shared" ca="1" si="2"/>
        <v>49</v>
      </c>
    </row>
    <row r="184" spans="1:3" x14ac:dyDescent="0.2">
      <c r="A184" t="s">
        <v>147</v>
      </c>
      <c r="B184" s="10">
        <v>21123</v>
      </c>
      <c r="C184" s="98">
        <f t="shared" ca="1" si="2"/>
        <v>68</v>
      </c>
    </row>
    <row r="185" spans="1:3" x14ac:dyDescent="0.2">
      <c r="A185" t="s">
        <v>65</v>
      </c>
      <c r="B185" s="10">
        <v>5645</v>
      </c>
      <c r="C185" s="98">
        <f t="shared" ca="1" si="2"/>
        <v>110</v>
      </c>
    </row>
    <row r="186" spans="1:3" x14ac:dyDescent="0.2">
      <c r="A186" s="1" t="s">
        <v>1022</v>
      </c>
      <c r="B186" s="15">
        <v>23056</v>
      </c>
      <c r="C186" s="98">
        <f t="shared" ca="1" si="2"/>
        <v>62</v>
      </c>
    </row>
    <row r="187" spans="1:3" x14ac:dyDescent="0.2">
      <c r="A187" s="1" t="s">
        <v>1036</v>
      </c>
      <c r="B187" s="15">
        <v>25332</v>
      </c>
      <c r="C187" s="98">
        <f t="shared" ca="1" si="2"/>
        <v>56</v>
      </c>
    </row>
    <row r="188" spans="1:3" x14ac:dyDescent="0.2">
      <c r="A188" s="1" t="s">
        <v>623</v>
      </c>
      <c r="B188" s="15">
        <v>25489</v>
      </c>
      <c r="C188" s="98">
        <f t="shared" ca="1" si="2"/>
        <v>56</v>
      </c>
    </row>
    <row r="189" spans="1:3" x14ac:dyDescent="0.2">
      <c r="A189" t="s">
        <v>1332</v>
      </c>
      <c r="B189" s="97">
        <v>28146</v>
      </c>
      <c r="C189" s="98">
        <f t="shared" ca="1" si="2"/>
        <v>49</v>
      </c>
    </row>
    <row r="190" spans="1:3" x14ac:dyDescent="0.2">
      <c r="A190" t="s">
        <v>124</v>
      </c>
      <c r="B190" s="10">
        <v>5706</v>
      </c>
      <c r="C190" s="98">
        <f t="shared" ca="1" si="2"/>
        <v>110</v>
      </c>
    </row>
    <row r="191" spans="1:3" x14ac:dyDescent="0.2">
      <c r="A191" t="s">
        <v>809</v>
      </c>
      <c r="B191" s="10">
        <v>24348</v>
      </c>
      <c r="C191" s="98">
        <f t="shared" ca="1" si="2"/>
        <v>59</v>
      </c>
    </row>
    <row r="192" spans="1:3" x14ac:dyDescent="0.2">
      <c r="A192" t="s">
        <v>100</v>
      </c>
      <c r="B192" s="10">
        <v>12320</v>
      </c>
      <c r="C192" s="98">
        <f t="shared" ca="1" si="2"/>
        <v>92</v>
      </c>
    </row>
    <row r="193" spans="1:3" x14ac:dyDescent="0.2">
      <c r="A193" t="s">
        <v>92</v>
      </c>
      <c r="B193" s="10">
        <v>10677</v>
      </c>
      <c r="C193" s="98">
        <f t="shared" ca="1" si="2"/>
        <v>96</v>
      </c>
    </row>
    <row r="194" spans="1:3" x14ac:dyDescent="0.2">
      <c r="A194" t="s">
        <v>144</v>
      </c>
      <c r="B194" s="11">
        <v>1969</v>
      </c>
      <c r="C194" s="98">
        <f t="shared" ca="1" si="2"/>
        <v>120</v>
      </c>
    </row>
    <row r="195" spans="1:3" x14ac:dyDescent="0.2">
      <c r="A195" t="s">
        <v>947</v>
      </c>
      <c r="B195" s="10">
        <v>32103</v>
      </c>
      <c r="C195" s="98">
        <f t="shared" ref="C195:C258" ca="1" si="3">DATEDIF(B195,TODAY(),"Y")</f>
        <v>38</v>
      </c>
    </row>
    <row r="196" spans="1:3" x14ac:dyDescent="0.2">
      <c r="A196" t="s">
        <v>969</v>
      </c>
      <c r="B196" s="13">
        <v>29177</v>
      </c>
      <c r="C196" s="98">
        <f t="shared" ca="1" si="3"/>
        <v>46</v>
      </c>
    </row>
    <row r="197" spans="1:3" x14ac:dyDescent="0.2">
      <c r="A197" t="s">
        <v>1333</v>
      </c>
      <c r="B197" s="10">
        <v>22206</v>
      </c>
      <c r="C197" s="98">
        <f t="shared" ca="1" si="3"/>
        <v>65</v>
      </c>
    </row>
    <row r="198" spans="1:3" x14ac:dyDescent="0.2">
      <c r="A198" t="s">
        <v>797</v>
      </c>
      <c r="B198" s="10">
        <v>18916</v>
      </c>
      <c r="C198" s="98">
        <f t="shared" ca="1" si="3"/>
        <v>74</v>
      </c>
    </row>
    <row r="199" spans="1:3" x14ac:dyDescent="0.2">
      <c r="A199" s="1" t="s">
        <v>531</v>
      </c>
      <c r="B199" s="15">
        <v>23830</v>
      </c>
      <c r="C199" s="98">
        <f t="shared" ca="1" si="3"/>
        <v>60</v>
      </c>
    </row>
    <row r="200" spans="1:3" x14ac:dyDescent="0.2">
      <c r="A200" s="1" t="s">
        <v>642</v>
      </c>
      <c r="B200" s="15">
        <v>24738</v>
      </c>
      <c r="C200" s="98">
        <f t="shared" ca="1" si="3"/>
        <v>58</v>
      </c>
    </row>
    <row r="201" spans="1:3" x14ac:dyDescent="0.2">
      <c r="A201" s="1" t="s">
        <v>602</v>
      </c>
      <c r="B201" s="15">
        <v>16952</v>
      </c>
      <c r="C201" s="98">
        <f t="shared" ca="1" si="3"/>
        <v>79</v>
      </c>
    </row>
    <row r="202" spans="1:3" x14ac:dyDescent="0.2">
      <c r="A202" t="s">
        <v>375</v>
      </c>
      <c r="B202" s="10">
        <v>21398</v>
      </c>
      <c r="C202" s="98">
        <f t="shared" ca="1" si="3"/>
        <v>67</v>
      </c>
    </row>
    <row r="203" spans="1:3" x14ac:dyDescent="0.2">
      <c r="A203" t="s">
        <v>48</v>
      </c>
      <c r="B203" s="10">
        <v>17766</v>
      </c>
      <c r="C203" s="98">
        <f t="shared" ca="1" si="3"/>
        <v>77</v>
      </c>
    </row>
    <row r="204" spans="1:3" x14ac:dyDescent="0.2">
      <c r="A204" t="s">
        <v>99</v>
      </c>
      <c r="B204" s="10">
        <v>28938</v>
      </c>
      <c r="C204" s="98">
        <f t="shared" ca="1" si="3"/>
        <v>46</v>
      </c>
    </row>
    <row r="205" spans="1:3" x14ac:dyDescent="0.2">
      <c r="A205" t="s">
        <v>1334</v>
      </c>
      <c r="B205" s="10">
        <v>23385</v>
      </c>
      <c r="C205" s="98">
        <f t="shared" ca="1" si="3"/>
        <v>62</v>
      </c>
    </row>
    <row r="206" spans="1:3" x14ac:dyDescent="0.2">
      <c r="A206" s="1" t="s">
        <v>1104</v>
      </c>
      <c r="B206" s="15">
        <v>19178</v>
      </c>
      <c r="C206" s="98">
        <f t="shared" ca="1" si="3"/>
        <v>73</v>
      </c>
    </row>
    <row r="207" spans="1:3" x14ac:dyDescent="0.2">
      <c r="A207" s="1" t="s">
        <v>1335</v>
      </c>
      <c r="B207" s="15">
        <v>19178</v>
      </c>
      <c r="C207" s="98">
        <f t="shared" ca="1" si="3"/>
        <v>73</v>
      </c>
    </row>
    <row r="208" spans="1:3" x14ac:dyDescent="0.2">
      <c r="A208" t="s">
        <v>469</v>
      </c>
      <c r="B208" s="10">
        <v>14013</v>
      </c>
      <c r="C208" s="98">
        <f t="shared" ca="1" si="3"/>
        <v>87</v>
      </c>
    </row>
    <row r="209" spans="1:3" x14ac:dyDescent="0.2">
      <c r="A209" s="1" t="s">
        <v>601</v>
      </c>
      <c r="B209" s="15">
        <v>21802</v>
      </c>
      <c r="C209" s="98">
        <f t="shared" ca="1" si="3"/>
        <v>66</v>
      </c>
    </row>
    <row r="210" spans="1:3" x14ac:dyDescent="0.2">
      <c r="A210" t="s">
        <v>327</v>
      </c>
      <c r="B210" s="10">
        <v>11291</v>
      </c>
      <c r="C210" s="98">
        <f t="shared" ca="1" si="3"/>
        <v>95</v>
      </c>
    </row>
    <row r="211" spans="1:3" x14ac:dyDescent="0.2">
      <c r="A211" t="s">
        <v>1336</v>
      </c>
      <c r="B211" s="10">
        <v>22107</v>
      </c>
      <c r="C211" s="98">
        <f t="shared" ca="1" si="3"/>
        <v>65</v>
      </c>
    </row>
    <row r="212" spans="1:3" x14ac:dyDescent="0.2">
      <c r="A212" s="1" t="s">
        <v>694</v>
      </c>
      <c r="B212" s="15">
        <v>25746</v>
      </c>
      <c r="C212" s="98">
        <f t="shared" ca="1" si="3"/>
        <v>55</v>
      </c>
    </row>
    <row r="213" spans="1:3" x14ac:dyDescent="0.2">
      <c r="A213" s="1" t="s">
        <v>572</v>
      </c>
      <c r="B213" s="15">
        <v>14628</v>
      </c>
      <c r="C213" s="98">
        <f t="shared" ca="1" si="3"/>
        <v>86</v>
      </c>
    </row>
    <row r="214" spans="1:3" x14ac:dyDescent="0.2">
      <c r="A214" s="1" t="s">
        <v>999</v>
      </c>
      <c r="B214" s="15">
        <v>27948</v>
      </c>
      <c r="C214" s="98">
        <f t="shared" ca="1" si="3"/>
        <v>49</v>
      </c>
    </row>
    <row r="215" spans="1:3" x14ac:dyDescent="0.2">
      <c r="A215" s="1" t="s">
        <v>1030</v>
      </c>
      <c r="B215" s="15">
        <v>27132</v>
      </c>
      <c r="C215" s="98">
        <f t="shared" ca="1" si="3"/>
        <v>51</v>
      </c>
    </row>
    <row r="216" spans="1:3" x14ac:dyDescent="0.2">
      <c r="A216" s="1" t="s">
        <v>560</v>
      </c>
      <c r="B216" s="15">
        <v>11689</v>
      </c>
      <c r="C216" s="98">
        <f t="shared" ca="1" si="3"/>
        <v>94</v>
      </c>
    </row>
    <row r="217" spans="1:3" x14ac:dyDescent="0.2">
      <c r="A217" s="1" t="s">
        <v>560</v>
      </c>
      <c r="B217" s="23">
        <v>1932</v>
      </c>
      <c r="C217" s="98">
        <f t="shared" ca="1" si="3"/>
        <v>120</v>
      </c>
    </row>
    <row r="218" spans="1:3" x14ac:dyDescent="0.2">
      <c r="A218" s="1" t="s">
        <v>695</v>
      </c>
      <c r="B218" s="15">
        <v>20939</v>
      </c>
      <c r="C218" s="98">
        <f t="shared" ca="1" si="3"/>
        <v>68</v>
      </c>
    </row>
    <row r="219" spans="1:3" x14ac:dyDescent="0.2">
      <c r="A219" s="1" t="s">
        <v>678</v>
      </c>
      <c r="B219" s="15">
        <v>22268</v>
      </c>
      <c r="C219" s="98">
        <f t="shared" ca="1" si="3"/>
        <v>65</v>
      </c>
    </row>
    <row r="220" spans="1:3" x14ac:dyDescent="0.2">
      <c r="A220" s="1" t="s">
        <v>587</v>
      </c>
      <c r="B220" s="15">
        <v>23859</v>
      </c>
      <c r="C220" s="98">
        <f t="shared" ca="1" si="3"/>
        <v>60</v>
      </c>
    </row>
    <row r="221" spans="1:3" x14ac:dyDescent="0.2">
      <c r="A221" t="s">
        <v>142</v>
      </c>
      <c r="B221" s="10">
        <v>22859</v>
      </c>
      <c r="C221" s="98">
        <f t="shared" ca="1" si="3"/>
        <v>63</v>
      </c>
    </row>
    <row r="222" spans="1:3" x14ac:dyDescent="0.2">
      <c r="A222" t="s">
        <v>339</v>
      </c>
      <c r="B222" s="10">
        <v>29758</v>
      </c>
      <c r="C222" s="98">
        <f t="shared" ca="1" si="3"/>
        <v>44</v>
      </c>
    </row>
    <row r="223" spans="1:3" x14ac:dyDescent="0.2">
      <c r="A223" s="61" t="s">
        <v>374</v>
      </c>
      <c r="B223" s="11">
        <v>1964</v>
      </c>
      <c r="C223" s="98">
        <f t="shared" ca="1" si="3"/>
        <v>120</v>
      </c>
    </row>
    <row r="224" spans="1:3" x14ac:dyDescent="0.2">
      <c r="A224" t="s">
        <v>1337</v>
      </c>
      <c r="B224" s="10">
        <v>21263</v>
      </c>
      <c r="C224" s="98">
        <f t="shared" ca="1" si="3"/>
        <v>67</v>
      </c>
    </row>
    <row r="225" spans="1:3" x14ac:dyDescent="0.2">
      <c r="A225" t="s">
        <v>432</v>
      </c>
      <c r="B225" s="10">
        <v>17565</v>
      </c>
      <c r="C225" s="98">
        <f t="shared" ca="1" si="3"/>
        <v>78</v>
      </c>
    </row>
    <row r="226" spans="1:3" x14ac:dyDescent="0.2">
      <c r="A226" t="s">
        <v>1338</v>
      </c>
      <c r="B226" s="10">
        <v>22107</v>
      </c>
      <c r="C226" s="98">
        <f t="shared" ca="1" si="3"/>
        <v>65</v>
      </c>
    </row>
    <row r="227" spans="1:3" x14ac:dyDescent="0.2">
      <c r="A227" s="1" t="s">
        <v>286</v>
      </c>
      <c r="B227" s="15">
        <v>12394</v>
      </c>
      <c r="C227" s="98">
        <f t="shared" ca="1" si="3"/>
        <v>92</v>
      </c>
    </row>
    <row r="228" spans="1:3" x14ac:dyDescent="0.2">
      <c r="A228" s="61" t="s">
        <v>320</v>
      </c>
      <c r="B228" s="11">
        <v>1969</v>
      </c>
      <c r="C228" s="98">
        <f t="shared" ca="1" si="3"/>
        <v>120</v>
      </c>
    </row>
    <row r="229" spans="1:3" x14ac:dyDescent="0.2">
      <c r="A229" s="1" t="s">
        <v>763</v>
      </c>
      <c r="B229" s="15">
        <v>19869</v>
      </c>
      <c r="C229" s="98">
        <f t="shared" ca="1" si="3"/>
        <v>71</v>
      </c>
    </row>
    <row r="230" spans="1:3" x14ac:dyDescent="0.2">
      <c r="A230" t="s">
        <v>1339</v>
      </c>
      <c r="B230" s="10">
        <v>25144</v>
      </c>
      <c r="C230" s="98">
        <f t="shared" ca="1" si="3"/>
        <v>57</v>
      </c>
    </row>
    <row r="231" spans="1:3" x14ac:dyDescent="0.2">
      <c r="A231" t="s">
        <v>337</v>
      </c>
      <c r="B231" s="10">
        <v>9118</v>
      </c>
      <c r="C231" s="98">
        <f t="shared" ca="1" si="3"/>
        <v>101</v>
      </c>
    </row>
    <row r="232" spans="1:3" x14ac:dyDescent="0.2">
      <c r="A232" t="s">
        <v>425</v>
      </c>
      <c r="B232" s="10">
        <v>17246</v>
      </c>
      <c r="C232" s="98">
        <f t="shared" ca="1" si="3"/>
        <v>78</v>
      </c>
    </row>
    <row r="233" spans="1:3" x14ac:dyDescent="0.2">
      <c r="A233" t="s">
        <v>81</v>
      </c>
      <c r="B233" s="10">
        <v>27346</v>
      </c>
      <c r="C233" s="98">
        <f t="shared" ca="1" si="3"/>
        <v>51</v>
      </c>
    </row>
    <row r="234" spans="1:3" x14ac:dyDescent="0.2">
      <c r="A234" t="s">
        <v>140</v>
      </c>
      <c r="B234" s="10">
        <v>11632</v>
      </c>
      <c r="C234" s="98">
        <f t="shared" ca="1" si="3"/>
        <v>94</v>
      </c>
    </row>
    <row r="235" spans="1:3" x14ac:dyDescent="0.2">
      <c r="A235" t="s">
        <v>462</v>
      </c>
      <c r="B235" s="10">
        <v>15220</v>
      </c>
      <c r="C235" s="98">
        <f t="shared" ca="1" si="3"/>
        <v>84</v>
      </c>
    </row>
    <row r="236" spans="1:3" x14ac:dyDescent="0.2">
      <c r="A236" s="61" t="s">
        <v>234</v>
      </c>
      <c r="B236" s="10">
        <v>12411</v>
      </c>
      <c r="C236" s="98">
        <f t="shared" ca="1" si="3"/>
        <v>92</v>
      </c>
    </row>
    <row r="237" spans="1:3" x14ac:dyDescent="0.2">
      <c r="A237" t="s">
        <v>1340</v>
      </c>
      <c r="B237" s="10">
        <v>22325</v>
      </c>
      <c r="C237" s="98">
        <f t="shared" ca="1" si="3"/>
        <v>64</v>
      </c>
    </row>
    <row r="238" spans="1:3" x14ac:dyDescent="0.2">
      <c r="A238" s="1" t="s">
        <v>673</v>
      </c>
      <c r="B238" s="23">
        <v>1944</v>
      </c>
      <c r="C238" s="98">
        <f t="shared" ca="1" si="3"/>
        <v>120</v>
      </c>
    </row>
    <row r="239" spans="1:3" x14ac:dyDescent="0.2">
      <c r="A239" t="s">
        <v>1210</v>
      </c>
      <c r="B239" s="10">
        <v>21774</v>
      </c>
      <c r="C239" s="98">
        <f t="shared" ca="1" si="3"/>
        <v>66</v>
      </c>
    </row>
    <row r="240" spans="1:3" x14ac:dyDescent="0.2">
      <c r="A240" s="1" t="s">
        <v>609</v>
      </c>
      <c r="B240" s="15">
        <v>27803</v>
      </c>
      <c r="C240" s="98">
        <f t="shared" ca="1" si="3"/>
        <v>49</v>
      </c>
    </row>
    <row r="241" spans="1:3" x14ac:dyDescent="0.2">
      <c r="A241" s="1" t="s">
        <v>761</v>
      </c>
      <c r="B241" s="15">
        <v>25334</v>
      </c>
      <c r="C241" s="98">
        <f t="shared" ca="1" si="3"/>
        <v>56</v>
      </c>
    </row>
    <row r="242" spans="1:3" x14ac:dyDescent="0.2">
      <c r="A242" s="1" t="s">
        <v>1341</v>
      </c>
      <c r="B242" s="15">
        <v>29028</v>
      </c>
      <c r="C242" s="98">
        <f t="shared" ca="1" si="3"/>
        <v>46</v>
      </c>
    </row>
    <row r="243" spans="1:3" x14ac:dyDescent="0.2">
      <c r="A243" s="1" t="s">
        <v>294</v>
      </c>
      <c r="B243" s="15">
        <v>25934</v>
      </c>
      <c r="C243" s="98">
        <f t="shared" ca="1" si="3"/>
        <v>55</v>
      </c>
    </row>
    <row r="244" spans="1:3" x14ac:dyDescent="0.2">
      <c r="A244" t="s">
        <v>1035</v>
      </c>
      <c r="B244" s="10">
        <v>30296</v>
      </c>
      <c r="C244" s="98">
        <f t="shared" ca="1" si="3"/>
        <v>43</v>
      </c>
    </row>
    <row r="245" spans="1:3" x14ac:dyDescent="0.2">
      <c r="A245" t="s">
        <v>105</v>
      </c>
      <c r="B245" s="10">
        <v>19810</v>
      </c>
      <c r="C245" s="98">
        <f t="shared" ca="1" si="3"/>
        <v>71</v>
      </c>
    </row>
    <row r="246" spans="1:3" x14ac:dyDescent="0.2">
      <c r="A246" t="s">
        <v>129</v>
      </c>
      <c r="B246" s="10">
        <v>27181</v>
      </c>
      <c r="C246" s="98">
        <f t="shared" ca="1" si="3"/>
        <v>51</v>
      </c>
    </row>
    <row r="247" spans="1:3" x14ac:dyDescent="0.2">
      <c r="A247" t="s">
        <v>1342</v>
      </c>
      <c r="B247" s="10">
        <v>17489</v>
      </c>
      <c r="C247" s="98">
        <f t="shared" ca="1" si="3"/>
        <v>78</v>
      </c>
    </row>
    <row r="248" spans="1:3" x14ac:dyDescent="0.2">
      <c r="A248" t="s">
        <v>1343</v>
      </c>
      <c r="B248" s="10">
        <v>26320</v>
      </c>
      <c r="C248" s="98">
        <f t="shared" ca="1" si="3"/>
        <v>54</v>
      </c>
    </row>
    <row r="249" spans="1:3" x14ac:dyDescent="0.2">
      <c r="A249" t="s">
        <v>179</v>
      </c>
      <c r="B249" s="11">
        <v>1911</v>
      </c>
      <c r="C249" s="98">
        <f t="shared" ca="1" si="3"/>
        <v>120</v>
      </c>
    </row>
    <row r="250" spans="1:3" x14ac:dyDescent="0.2">
      <c r="A250" t="s">
        <v>345</v>
      </c>
      <c r="B250" s="10">
        <v>19482</v>
      </c>
      <c r="C250" s="98">
        <f t="shared" ca="1" si="3"/>
        <v>72</v>
      </c>
    </row>
    <row r="251" spans="1:3" x14ac:dyDescent="0.2">
      <c r="A251" t="s">
        <v>457</v>
      </c>
      <c r="B251" s="10">
        <v>14635</v>
      </c>
      <c r="C251" s="98">
        <f t="shared" ca="1" si="3"/>
        <v>86</v>
      </c>
    </row>
    <row r="252" spans="1:3" x14ac:dyDescent="0.2">
      <c r="A252" t="s">
        <v>1344</v>
      </c>
      <c r="B252" s="10">
        <v>29380</v>
      </c>
      <c r="C252" s="98">
        <f t="shared" ca="1" si="3"/>
        <v>45</v>
      </c>
    </row>
    <row r="253" spans="1:3" x14ac:dyDescent="0.2">
      <c r="A253" t="s">
        <v>1345</v>
      </c>
      <c r="B253" s="10">
        <v>27357</v>
      </c>
      <c r="C253" s="98">
        <f t="shared" ca="1" si="3"/>
        <v>51</v>
      </c>
    </row>
    <row r="254" spans="1:3" x14ac:dyDescent="0.2">
      <c r="A254" s="1" t="s">
        <v>551</v>
      </c>
      <c r="B254" s="15">
        <v>16062</v>
      </c>
      <c r="C254" s="98">
        <f t="shared" ca="1" si="3"/>
        <v>82</v>
      </c>
    </row>
    <row r="255" spans="1:3" x14ac:dyDescent="0.2">
      <c r="A255" s="1" t="s">
        <v>1346</v>
      </c>
      <c r="B255" s="15">
        <v>26628</v>
      </c>
      <c r="C255" s="98">
        <f t="shared" ca="1" si="3"/>
        <v>53</v>
      </c>
    </row>
    <row r="256" spans="1:3" x14ac:dyDescent="0.2">
      <c r="A256" s="1" t="s">
        <v>963</v>
      </c>
      <c r="B256" s="15">
        <v>17624</v>
      </c>
      <c r="C256" s="98">
        <f t="shared" ca="1" si="3"/>
        <v>77</v>
      </c>
    </row>
    <row r="257" spans="1:3" x14ac:dyDescent="0.2">
      <c r="A257" s="1" t="s">
        <v>615</v>
      </c>
      <c r="B257" s="15">
        <v>28120</v>
      </c>
      <c r="C257" s="98">
        <f t="shared" ca="1" si="3"/>
        <v>49</v>
      </c>
    </row>
    <row r="258" spans="1:3" x14ac:dyDescent="0.2">
      <c r="A258" s="1" t="s">
        <v>1347</v>
      </c>
      <c r="B258" s="15">
        <v>30089</v>
      </c>
      <c r="C258" s="98">
        <f t="shared" ca="1" si="3"/>
        <v>43</v>
      </c>
    </row>
    <row r="259" spans="1:3" x14ac:dyDescent="0.2">
      <c r="A259" t="s">
        <v>53</v>
      </c>
      <c r="B259" s="10">
        <v>6002</v>
      </c>
      <c r="C259" s="98">
        <f t="shared" ref="C259:C263" ca="1" si="4">DATEDIF(B259,TODAY(),"Y")</f>
        <v>109</v>
      </c>
    </row>
    <row r="260" spans="1:3" x14ac:dyDescent="0.2">
      <c r="A260" s="80" t="s">
        <v>610</v>
      </c>
      <c r="B260" s="81">
        <v>24344</v>
      </c>
      <c r="C260" s="98">
        <f t="shared" ca="1" si="4"/>
        <v>59</v>
      </c>
    </row>
    <row r="261" spans="1:3" x14ac:dyDescent="0.2">
      <c r="A261" s="1" t="s">
        <v>1348</v>
      </c>
      <c r="B261" s="15">
        <v>24344</v>
      </c>
      <c r="C261" s="98">
        <f t="shared" ca="1" si="4"/>
        <v>59</v>
      </c>
    </row>
    <row r="262" spans="1:3" x14ac:dyDescent="0.2">
      <c r="A262" s="4" t="s">
        <v>1234</v>
      </c>
      <c r="B262" s="15">
        <v>30573</v>
      </c>
      <c r="C262" s="98">
        <f t="shared" ca="1" si="4"/>
        <v>42</v>
      </c>
    </row>
    <row r="263" spans="1:3" x14ac:dyDescent="0.2">
      <c r="A263" s="1" t="s">
        <v>1349</v>
      </c>
      <c r="B263" s="15">
        <v>31211</v>
      </c>
      <c r="C263" s="98">
        <f t="shared" ca="1" si="4"/>
        <v>40</v>
      </c>
    </row>
    <row r="264" spans="1:3" x14ac:dyDescent="0.2">
      <c r="B264" s="11"/>
    </row>
    <row r="265" spans="1:3" x14ac:dyDescent="0.2">
      <c r="B265" s="11"/>
    </row>
    <row r="266" spans="1:3" x14ac:dyDescent="0.2">
      <c r="B266" s="11"/>
    </row>
    <row r="267" spans="1:3" x14ac:dyDescent="0.2">
      <c r="B267" s="11"/>
    </row>
    <row r="268" spans="1:3" x14ac:dyDescent="0.2">
      <c r="B268" s="11"/>
    </row>
    <row r="269" spans="1:3" x14ac:dyDescent="0.2">
      <c r="B269" s="11"/>
    </row>
    <row r="270" spans="1:3" x14ac:dyDescent="0.2">
      <c r="B270" s="11"/>
    </row>
    <row r="271" spans="1:3" x14ac:dyDescent="0.2">
      <c r="B271" s="11"/>
    </row>
    <row r="272" spans="1:3" x14ac:dyDescent="0.2">
      <c r="B272" s="11"/>
    </row>
    <row r="273" spans="2:2" x14ac:dyDescent="0.2">
      <c r="B273" s="11"/>
    </row>
    <row r="274" spans="2:2" x14ac:dyDescent="0.2">
      <c r="B274" s="11"/>
    </row>
    <row r="275" spans="2:2" x14ac:dyDescent="0.2">
      <c r="B275" s="11"/>
    </row>
    <row r="276" spans="2:2" x14ac:dyDescent="0.2">
      <c r="B276" s="11"/>
    </row>
    <row r="277" spans="2:2" x14ac:dyDescent="0.2">
      <c r="B277" s="11"/>
    </row>
    <row r="278" spans="2:2" x14ac:dyDescent="0.2">
      <c r="B278" s="11"/>
    </row>
    <row r="279" spans="2:2" x14ac:dyDescent="0.2">
      <c r="B279" s="11"/>
    </row>
    <row r="280" spans="2:2" x14ac:dyDescent="0.2">
      <c r="B280" s="11"/>
    </row>
    <row r="281" spans="2:2" x14ac:dyDescent="0.2">
      <c r="B281" s="11"/>
    </row>
    <row r="282" spans="2:2" x14ac:dyDescent="0.2">
      <c r="B282" s="11"/>
    </row>
    <row r="283" spans="2:2" x14ac:dyDescent="0.2">
      <c r="B283" s="11"/>
    </row>
    <row r="284" spans="2:2" x14ac:dyDescent="0.2">
      <c r="B284" s="11"/>
    </row>
    <row r="285" spans="2:2" x14ac:dyDescent="0.2">
      <c r="B285" s="11"/>
    </row>
    <row r="286" spans="2:2" x14ac:dyDescent="0.2">
      <c r="B286" s="11"/>
    </row>
    <row r="287" spans="2:2" x14ac:dyDescent="0.2">
      <c r="B287" s="11"/>
    </row>
    <row r="288" spans="2:2" x14ac:dyDescent="0.2">
      <c r="B288" s="11"/>
    </row>
    <row r="289" spans="2:2" x14ac:dyDescent="0.2">
      <c r="B289" s="11"/>
    </row>
    <row r="290" spans="2:2" x14ac:dyDescent="0.2">
      <c r="B290" s="11"/>
    </row>
    <row r="291" spans="2:2" x14ac:dyDescent="0.2">
      <c r="B291" s="11"/>
    </row>
    <row r="292" spans="2:2" x14ac:dyDescent="0.2">
      <c r="B292" s="11"/>
    </row>
    <row r="293" spans="2:2" x14ac:dyDescent="0.2">
      <c r="B293" s="11"/>
    </row>
    <row r="294" spans="2:2" x14ac:dyDescent="0.2">
      <c r="B294" s="11"/>
    </row>
    <row r="295" spans="2:2" x14ac:dyDescent="0.2">
      <c r="B295" s="11"/>
    </row>
    <row r="296" spans="2:2" x14ac:dyDescent="0.2">
      <c r="B296" s="11"/>
    </row>
    <row r="297" spans="2:2" x14ac:dyDescent="0.2">
      <c r="B297" s="11"/>
    </row>
    <row r="298" spans="2:2" x14ac:dyDescent="0.2">
      <c r="B298" s="11"/>
    </row>
    <row r="299" spans="2:2" x14ac:dyDescent="0.2">
      <c r="B299" s="11"/>
    </row>
    <row r="300" spans="2:2" x14ac:dyDescent="0.2">
      <c r="B300" s="11"/>
    </row>
    <row r="301" spans="2:2" x14ac:dyDescent="0.2">
      <c r="B301" s="11"/>
    </row>
    <row r="302" spans="2:2" x14ac:dyDescent="0.2">
      <c r="B302" s="11"/>
    </row>
    <row r="303" spans="2:2" x14ac:dyDescent="0.2">
      <c r="B303" s="11"/>
    </row>
    <row r="304" spans="2:2" x14ac:dyDescent="0.2">
      <c r="B304" s="11"/>
    </row>
    <row r="305" spans="2:2" x14ac:dyDescent="0.2">
      <c r="B305" s="11"/>
    </row>
    <row r="306" spans="2:2" x14ac:dyDescent="0.2">
      <c r="B306" s="11"/>
    </row>
    <row r="307" spans="2:2" x14ac:dyDescent="0.2">
      <c r="B307" s="11"/>
    </row>
    <row r="308" spans="2:2" x14ac:dyDescent="0.2">
      <c r="B308" s="11"/>
    </row>
    <row r="309" spans="2:2" x14ac:dyDescent="0.2">
      <c r="B309" s="11"/>
    </row>
    <row r="310" spans="2:2" x14ac:dyDescent="0.2">
      <c r="B310" s="11"/>
    </row>
    <row r="311" spans="2:2" x14ac:dyDescent="0.2">
      <c r="B311" s="11"/>
    </row>
    <row r="312" spans="2:2" x14ac:dyDescent="0.2">
      <c r="B312" s="11"/>
    </row>
    <row r="313" spans="2:2" x14ac:dyDescent="0.2">
      <c r="B313" s="11"/>
    </row>
    <row r="314" spans="2:2" x14ac:dyDescent="0.2">
      <c r="B314" s="11"/>
    </row>
    <row r="315" spans="2:2" x14ac:dyDescent="0.2">
      <c r="B315" s="11"/>
    </row>
    <row r="316" spans="2:2" x14ac:dyDescent="0.2">
      <c r="B316" s="11"/>
    </row>
    <row r="317" spans="2:2" x14ac:dyDescent="0.2">
      <c r="B317" s="11"/>
    </row>
    <row r="318" spans="2:2" x14ac:dyDescent="0.2">
      <c r="B318" s="11"/>
    </row>
    <row r="319" spans="2:2" x14ac:dyDescent="0.2">
      <c r="B319" s="11"/>
    </row>
    <row r="320" spans="2:2" x14ac:dyDescent="0.2">
      <c r="B320" s="11"/>
    </row>
    <row r="321" spans="2:2" x14ac:dyDescent="0.2">
      <c r="B321" s="11"/>
    </row>
    <row r="322" spans="2:2" x14ac:dyDescent="0.2">
      <c r="B322" s="11"/>
    </row>
    <row r="323" spans="2:2" x14ac:dyDescent="0.2">
      <c r="B323" s="11"/>
    </row>
    <row r="324" spans="2:2" x14ac:dyDescent="0.2">
      <c r="B324" s="11"/>
    </row>
    <row r="325" spans="2:2" x14ac:dyDescent="0.2">
      <c r="B325" s="11"/>
    </row>
    <row r="326" spans="2:2" x14ac:dyDescent="0.2">
      <c r="B326" s="11"/>
    </row>
    <row r="327" spans="2:2" x14ac:dyDescent="0.2">
      <c r="B327" s="11"/>
    </row>
    <row r="328" spans="2:2" x14ac:dyDescent="0.2">
      <c r="B328" s="11"/>
    </row>
    <row r="329" spans="2:2" x14ac:dyDescent="0.2">
      <c r="B329" s="11"/>
    </row>
    <row r="330" spans="2:2" x14ac:dyDescent="0.2">
      <c r="B330" s="11"/>
    </row>
    <row r="331" spans="2:2" x14ac:dyDescent="0.2">
      <c r="B331" s="11"/>
    </row>
    <row r="332" spans="2:2" x14ac:dyDescent="0.2">
      <c r="B332" s="11"/>
    </row>
    <row r="333" spans="2:2" x14ac:dyDescent="0.2">
      <c r="B333" s="11"/>
    </row>
    <row r="334" spans="2:2" x14ac:dyDescent="0.2">
      <c r="B334" s="11"/>
    </row>
    <row r="335" spans="2:2" x14ac:dyDescent="0.2">
      <c r="B335" s="11"/>
    </row>
    <row r="336" spans="2:2" x14ac:dyDescent="0.2">
      <c r="B336" s="11"/>
    </row>
    <row r="337" spans="1:2" x14ac:dyDescent="0.2">
      <c r="B337" s="11"/>
    </row>
    <row r="338" spans="1:2" x14ac:dyDescent="0.2">
      <c r="A338" t="s">
        <v>1350</v>
      </c>
      <c r="B338" s="11"/>
    </row>
    <row r="339" spans="1:2" x14ac:dyDescent="0.2">
      <c r="A339" t="s">
        <v>1350</v>
      </c>
      <c r="B339" s="11"/>
    </row>
    <row r="340" spans="1:2" x14ac:dyDescent="0.2">
      <c r="A340" t="s">
        <v>1350</v>
      </c>
      <c r="B340" s="11"/>
    </row>
    <row r="341" spans="1:2" x14ac:dyDescent="0.2">
      <c r="A341" t="s">
        <v>1350</v>
      </c>
      <c r="B341" s="11"/>
    </row>
    <row r="342" spans="1:2" x14ac:dyDescent="0.2">
      <c r="A342" t="s">
        <v>1350</v>
      </c>
      <c r="B342" s="11"/>
    </row>
    <row r="343" spans="1:2" x14ac:dyDescent="0.2">
      <c r="A343" t="s">
        <v>1350</v>
      </c>
      <c r="B343" s="11"/>
    </row>
    <row r="344" spans="1:2" x14ac:dyDescent="0.2">
      <c r="A344" t="s">
        <v>1350</v>
      </c>
      <c r="B344" s="11"/>
    </row>
    <row r="345" spans="1:2" x14ac:dyDescent="0.2">
      <c r="A345" t="s">
        <v>1350</v>
      </c>
      <c r="B345" s="11"/>
    </row>
    <row r="346" spans="1:2" x14ac:dyDescent="0.2">
      <c r="A346" t="s">
        <v>1350</v>
      </c>
      <c r="B346" s="11"/>
    </row>
    <row r="347" spans="1:2" x14ac:dyDescent="0.2">
      <c r="B347" s="11"/>
    </row>
    <row r="348" spans="1:2" x14ac:dyDescent="0.2">
      <c r="B348" s="11"/>
    </row>
    <row r="349" spans="1:2" x14ac:dyDescent="0.2">
      <c r="B349" s="11"/>
    </row>
    <row r="350" spans="1:2" x14ac:dyDescent="0.2">
      <c r="B350" s="11"/>
    </row>
    <row r="351" spans="1:2" x14ac:dyDescent="0.2">
      <c r="B351" s="11"/>
    </row>
    <row r="352" spans="1:2" x14ac:dyDescent="0.2">
      <c r="B352" s="11"/>
    </row>
    <row r="353" spans="2:2" x14ac:dyDescent="0.2">
      <c r="B353" s="11"/>
    </row>
    <row r="354" spans="2:2" x14ac:dyDescent="0.2">
      <c r="B354" s="11"/>
    </row>
    <row r="355" spans="2:2" x14ac:dyDescent="0.2">
      <c r="B355" s="11"/>
    </row>
    <row r="356" spans="2:2" x14ac:dyDescent="0.2">
      <c r="B356" s="11"/>
    </row>
    <row r="357" spans="2:2" x14ac:dyDescent="0.2">
      <c r="B357" s="11"/>
    </row>
    <row r="358" spans="2:2" x14ac:dyDescent="0.2">
      <c r="B358" s="11"/>
    </row>
    <row r="359" spans="2:2" x14ac:dyDescent="0.2">
      <c r="B359" s="11"/>
    </row>
    <row r="360" spans="2:2" x14ac:dyDescent="0.2">
      <c r="B360" s="11"/>
    </row>
    <row r="361" spans="2:2" x14ac:dyDescent="0.2">
      <c r="B361" s="11"/>
    </row>
    <row r="362" spans="2:2" x14ac:dyDescent="0.2">
      <c r="B362" s="11"/>
    </row>
    <row r="363" spans="2:2" x14ac:dyDescent="0.2">
      <c r="B363" s="11"/>
    </row>
    <row r="364" spans="2:2" x14ac:dyDescent="0.2">
      <c r="B364" s="11"/>
    </row>
    <row r="365" spans="2:2" x14ac:dyDescent="0.2">
      <c r="B365" s="11"/>
    </row>
    <row r="366" spans="2:2" x14ac:dyDescent="0.2">
      <c r="B366" s="11"/>
    </row>
    <row r="367" spans="2:2" x14ac:dyDescent="0.2">
      <c r="B367" s="11"/>
    </row>
    <row r="368" spans="2:2" x14ac:dyDescent="0.2">
      <c r="B368" s="11"/>
    </row>
    <row r="369" spans="2:2" x14ac:dyDescent="0.2">
      <c r="B369" s="11"/>
    </row>
    <row r="370" spans="2:2" x14ac:dyDescent="0.2">
      <c r="B370" s="11"/>
    </row>
    <row r="371" spans="2:2" x14ac:dyDescent="0.2">
      <c r="B371" s="11"/>
    </row>
    <row r="372" spans="2:2" x14ac:dyDescent="0.2">
      <c r="B372" s="11"/>
    </row>
    <row r="373" spans="2:2" x14ac:dyDescent="0.2">
      <c r="B373" s="11"/>
    </row>
    <row r="374" spans="2:2" x14ac:dyDescent="0.2">
      <c r="B374" s="11"/>
    </row>
    <row r="375" spans="2:2" x14ac:dyDescent="0.2">
      <c r="B375" s="11"/>
    </row>
    <row r="376" spans="2:2" x14ac:dyDescent="0.2">
      <c r="B376" s="11"/>
    </row>
    <row r="377" spans="2:2" x14ac:dyDescent="0.2">
      <c r="B377" s="11"/>
    </row>
    <row r="378" spans="2:2" x14ac:dyDescent="0.2">
      <c r="B378" s="11"/>
    </row>
    <row r="379" spans="2:2" x14ac:dyDescent="0.2">
      <c r="B379" s="11"/>
    </row>
    <row r="380" spans="2:2" x14ac:dyDescent="0.2">
      <c r="B380" s="11"/>
    </row>
    <row r="381" spans="2:2" x14ac:dyDescent="0.2">
      <c r="B381" s="11"/>
    </row>
    <row r="382" spans="2:2" x14ac:dyDescent="0.2">
      <c r="B382" s="11"/>
    </row>
    <row r="383" spans="2:2" x14ac:dyDescent="0.2">
      <c r="B383" s="11"/>
    </row>
    <row r="384" spans="2:2" x14ac:dyDescent="0.2">
      <c r="B384" s="11"/>
    </row>
    <row r="385" spans="2:2" x14ac:dyDescent="0.2">
      <c r="B385" s="11"/>
    </row>
    <row r="386" spans="2:2" x14ac:dyDescent="0.2">
      <c r="B386" s="11"/>
    </row>
    <row r="387" spans="2:2" x14ac:dyDescent="0.2">
      <c r="B387" s="11"/>
    </row>
    <row r="388" spans="2:2" x14ac:dyDescent="0.2">
      <c r="B388" s="11"/>
    </row>
    <row r="389" spans="2:2" x14ac:dyDescent="0.2">
      <c r="B389" s="11"/>
    </row>
    <row r="390" spans="2:2" x14ac:dyDescent="0.2">
      <c r="B390" s="11"/>
    </row>
    <row r="391" spans="2:2" x14ac:dyDescent="0.2">
      <c r="B391" s="11"/>
    </row>
    <row r="392" spans="2:2" x14ac:dyDescent="0.2">
      <c r="B392" s="11"/>
    </row>
    <row r="393" spans="2:2" x14ac:dyDescent="0.2">
      <c r="B393" s="11"/>
    </row>
    <row r="394" spans="2:2" x14ac:dyDescent="0.2">
      <c r="B394" s="11"/>
    </row>
    <row r="395" spans="2:2" x14ac:dyDescent="0.2">
      <c r="B395" s="11"/>
    </row>
    <row r="396" spans="2:2" x14ac:dyDescent="0.2">
      <c r="B396" s="11"/>
    </row>
    <row r="397" spans="2:2" x14ac:dyDescent="0.2">
      <c r="B397" s="11"/>
    </row>
    <row r="398" spans="2:2" x14ac:dyDescent="0.2">
      <c r="B398" s="11"/>
    </row>
    <row r="399" spans="2:2" x14ac:dyDescent="0.2">
      <c r="B399" s="11"/>
    </row>
    <row r="400" spans="2:2" x14ac:dyDescent="0.2">
      <c r="B400" s="11"/>
    </row>
    <row r="401" spans="2:2" x14ac:dyDescent="0.2">
      <c r="B401" s="11"/>
    </row>
    <row r="402" spans="2:2" x14ac:dyDescent="0.2">
      <c r="B402" s="11"/>
    </row>
    <row r="403" spans="2:2" x14ac:dyDescent="0.2">
      <c r="B403" s="11"/>
    </row>
    <row r="404" spans="2:2" x14ac:dyDescent="0.2">
      <c r="B404" s="11"/>
    </row>
    <row r="405" spans="2:2" x14ac:dyDescent="0.2">
      <c r="B405" s="11"/>
    </row>
    <row r="406" spans="2:2" x14ac:dyDescent="0.2">
      <c r="B406" s="11"/>
    </row>
    <row r="407" spans="2:2" x14ac:dyDescent="0.2">
      <c r="B407" s="11"/>
    </row>
    <row r="408" spans="2:2" x14ac:dyDescent="0.2">
      <c r="B408" s="11"/>
    </row>
    <row r="409" spans="2:2" x14ac:dyDescent="0.2">
      <c r="B409" s="11"/>
    </row>
    <row r="410" spans="2:2" x14ac:dyDescent="0.2">
      <c r="B410" s="11"/>
    </row>
    <row r="411" spans="2:2" x14ac:dyDescent="0.2">
      <c r="B411" s="11"/>
    </row>
    <row r="412" spans="2:2" x14ac:dyDescent="0.2">
      <c r="B412" s="11"/>
    </row>
    <row r="413" spans="2:2" x14ac:dyDescent="0.2">
      <c r="B413" s="11"/>
    </row>
    <row r="414" spans="2:2" x14ac:dyDescent="0.2">
      <c r="B414" s="11"/>
    </row>
    <row r="415" spans="2:2" x14ac:dyDescent="0.2">
      <c r="B415" s="11"/>
    </row>
    <row r="416" spans="2:2" x14ac:dyDescent="0.2">
      <c r="B416" s="11"/>
    </row>
    <row r="417" spans="2:2" x14ac:dyDescent="0.2">
      <c r="B417" s="11"/>
    </row>
    <row r="418" spans="2:2" x14ac:dyDescent="0.2">
      <c r="B418" s="11"/>
    </row>
    <row r="419" spans="2:2" x14ac:dyDescent="0.2">
      <c r="B419" s="11"/>
    </row>
    <row r="420" spans="2:2" x14ac:dyDescent="0.2">
      <c r="B420" s="11"/>
    </row>
    <row r="421" spans="2:2" x14ac:dyDescent="0.2">
      <c r="B421" s="11"/>
    </row>
    <row r="422" spans="2:2" x14ac:dyDescent="0.2">
      <c r="B422" s="11"/>
    </row>
    <row r="423" spans="2:2" x14ac:dyDescent="0.2">
      <c r="B423" s="11"/>
    </row>
    <row r="424" spans="2:2" x14ac:dyDescent="0.2">
      <c r="B424" s="11"/>
    </row>
    <row r="425" spans="2:2" x14ac:dyDescent="0.2">
      <c r="B425" s="11"/>
    </row>
    <row r="426" spans="2:2" x14ac:dyDescent="0.2">
      <c r="B426" s="11"/>
    </row>
    <row r="427" spans="2:2" x14ac:dyDescent="0.2">
      <c r="B427" s="11"/>
    </row>
    <row r="428" spans="2:2" x14ac:dyDescent="0.2">
      <c r="B428" s="11"/>
    </row>
    <row r="429" spans="2:2" x14ac:dyDescent="0.2">
      <c r="B429" s="11"/>
    </row>
    <row r="430" spans="2:2" x14ac:dyDescent="0.2">
      <c r="B430" s="11"/>
    </row>
    <row r="431" spans="2:2" x14ac:dyDescent="0.2">
      <c r="B431" s="11"/>
    </row>
    <row r="432" spans="2:2" x14ac:dyDescent="0.2">
      <c r="B432" s="11"/>
    </row>
    <row r="433" spans="2:2" x14ac:dyDescent="0.2">
      <c r="B433" s="11"/>
    </row>
    <row r="434" spans="2:2" x14ac:dyDescent="0.2">
      <c r="B434" s="11"/>
    </row>
    <row r="435" spans="2:2" x14ac:dyDescent="0.2">
      <c r="B435" s="11"/>
    </row>
    <row r="436" spans="2:2" x14ac:dyDescent="0.2">
      <c r="B436" s="11"/>
    </row>
    <row r="437" spans="2:2" x14ac:dyDescent="0.2">
      <c r="B437" s="11"/>
    </row>
    <row r="438" spans="2:2" x14ac:dyDescent="0.2">
      <c r="B438" s="11"/>
    </row>
    <row r="439" spans="2:2" x14ac:dyDescent="0.2">
      <c r="B439" s="11"/>
    </row>
  </sheetData>
  <autoFilter ref="A1:B262" xr:uid="{17A7D794-2BA2-C648-A783-90C32CF2E13C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Εθνικά Ρεκορ</vt:lpstr>
      <vt:lpstr>Ανεπίσημα Εθνικά Ρεκορ</vt:lpstr>
      <vt:lpstr>Καταρίψεις</vt:lpstr>
      <vt:lpstr>Database Names</vt:lpstr>
      <vt:lpstr>'Εθνικά Ρεκορ'!Print_Area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2025-06-01T15:45:43Z</cp:lastPrinted>
  <dcterms:created xsi:type="dcterms:W3CDTF">2006-10-17T10:06:23Z</dcterms:created>
  <dcterms:modified xsi:type="dcterms:W3CDTF">2026-02-08T20:38:06Z</dcterms:modified>
</cp:coreProperties>
</file>