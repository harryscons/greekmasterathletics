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7F2259E5-57B2-1C43-9A39-C1CD49F0F100}" xr6:coauthVersionLast="47" xr6:coauthVersionMax="47" xr10:uidLastSave="{00000000-0000-0000-0000-000000000000}"/>
  <bookViews>
    <workbookView xWindow="7580" yWindow="1032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Records'!$B$1:$O$14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D5" i="5"/>
  <c r="D4" i="5"/>
  <c r="D3" i="5"/>
  <c r="D2" i="5"/>
</calcChain>
</file>

<file path=xl/sharedStrings.xml><?xml version="1.0" encoding="utf-8"?>
<sst xmlns="http://schemas.openxmlformats.org/spreadsheetml/2006/main" count="146" uniqueCount="82">
  <si>
    <t>Επίδοση</t>
  </si>
  <si>
    <t xml:space="preserve">Ονοματεπώνυμο </t>
  </si>
  <si>
    <t>Ημ. Γέννησης</t>
  </si>
  <si>
    <t xml:space="preserve">Ημερομηνία 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</si>
  <si>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</si>
  <si>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</si>
  <si>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</si>
  <si>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</si>
  <si>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</si>
  <si>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</si>
  <si>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</si>
  <si>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Μ70</t>
  </si>
  <si>
    <t>Παύλος Χαραλαμπίδης</t>
  </si>
  <si>
    <t>21.08.1948</t>
  </si>
  <si>
    <t>Βαλκανικό Πρωτάθλημα</t>
  </si>
  <si>
    <t>Πανευρωπαϊκό Πρωτάθλημα</t>
  </si>
  <si>
    <t>Κλερμόν Φεράν, Γαλλία</t>
  </si>
  <si>
    <t>Μαρία Μουρατίδου</t>
  </si>
  <si>
    <t>Μήκος</t>
  </si>
  <si>
    <t>Ιωάννης Μπέλλος</t>
  </si>
  <si>
    <t>Παύλος Μπασδέκης</t>
  </si>
  <si>
    <t>Σαν Σεμπαστιάν, Ισπανία</t>
  </si>
  <si>
    <t>Βασίλειος Ανδρεάδης</t>
  </si>
  <si>
    <t>Νικόλαος Αρβανίτης</t>
  </si>
  <si>
    <t>Γάνδη, Βέλγιο</t>
  </si>
  <si>
    <t>Λιντς, Αυστρία</t>
  </si>
  <si>
    <t>9.06 - 6.04 - 10.20 - 1.84 - 3.26.76</t>
  </si>
  <si>
    <t>8.86 - 6.36 - 10.63 - 1.82 - 3.16.30</t>
  </si>
  <si>
    <t>Κωνσταντίνος Χαμουρούδης</t>
  </si>
  <si>
    <t>11.31 - 5.09 - 10.41 - 1.60 - 3.36.98</t>
  </si>
  <si>
    <t>9.70 - 5.19 - 11.02 - 1.72 - 3.18.94</t>
  </si>
  <si>
    <t>9.83 - 4.46 - 10.80 - 1.66 - 3.29.89</t>
  </si>
  <si>
    <t>10.64 - 4.02 - 10.17 - 1.30 - 4.13.16</t>
  </si>
  <si>
    <t>10.07 - 4.80 - 9.25 - 1.48 - 4.24.11</t>
  </si>
  <si>
    <t>W55</t>
  </si>
  <si>
    <t>Φανή Λύκου</t>
  </si>
  <si>
    <t>12.03.1967</t>
  </si>
  <si>
    <t>10.95 - 1.33 - 8.25 - 4.73 - 3.32.55</t>
  </si>
  <si>
    <t>13.92 - 1.06 - 7.99 -3.02 - 4.19.25</t>
  </si>
  <si>
    <t>14.25 - 1.09 - 7.23 - 3.22 - 4.21.88</t>
  </si>
  <si>
    <t>14.40 - 1.06 - 7.08 - 3.20 - 4.39.89</t>
  </si>
  <si>
    <t>Ημερίδα ΣΕΓΑΣ</t>
  </si>
  <si>
    <t>25.03.2019</t>
  </si>
  <si>
    <t>Ελένη Γκούζια</t>
  </si>
  <si>
    <t>Ζιντελφίγκεν, Γερμανία</t>
  </si>
  <si>
    <t>15.08 - 1.03 - 7.90 - 3.17 - 4.12.70</t>
  </si>
  <si>
    <t>Νόβο Μέστο, Σλοβενία</t>
  </si>
  <si>
    <t>13.03.2022</t>
  </si>
  <si>
    <t>20.03.2024</t>
  </si>
  <si>
    <t>Note</t>
  </si>
  <si>
    <t>10.53 - 4.07 - 11.46 - 1.51 - 4.16.33</t>
  </si>
  <si>
    <t>30,91</t>
  </si>
  <si>
    <t>Κατηγορία</t>
  </si>
  <si>
    <t>Αγώνισμα</t>
  </si>
  <si>
    <t>Owners</t>
  </si>
  <si>
    <t>MEN</t>
  </si>
  <si>
    <t>W</t>
  </si>
  <si>
    <t>WOMEN</t>
  </si>
  <si>
    <t>Date</t>
  </si>
  <si>
    <t>Id</t>
  </si>
  <si>
    <t>Μ</t>
  </si>
  <si>
    <t>Δημήτριος Δημητρακόπουλος</t>
  </si>
  <si>
    <t>07.10.1968</t>
  </si>
  <si>
    <t>25.01.2025</t>
  </si>
  <si>
    <t>Αθήνα, OAKA</t>
  </si>
  <si>
    <t>Gender</t>
  </si>
  <si>
    <t>Male</t>
  </si>
  <si>
    <t>IDR</t>
  </si>
  <si>
    <t>RaceName</t>
  </si>
  <si>
    <t>TrackType</t>
  </si>
  <si>
    <t>Indoor</t>
  </si>
  <si>
    <t>Female</t>
  </si>
  <si>
    <t>Πένταθλο (Ind)</t>
  </si>
  <si>
    <t>MARK</t>
  </si>
  <si>
    <t>First Name</t>
  </si>
  <si>
    <t>Last Name</t>
  </si>
  <si>
    <t>Athlete Name</t>
  </si>
  <si>
    <t>Date of Birth</t>
  </si>
  <si>
    <t>Town</t>
  </si>
  <si>
    <t>Notes</t>
  </si>
  <si>
    <t>Age Group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</si>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</sst>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3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3" fontId="2" fillId="0" borderId="0" xfId="0" applyNumberFormat="1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M1" zoomScale="140" zoomScaleNormal="140" workbookViewId="0">
      <pane ySplit="1" topLeftCell="A2" activePane="bottomLeft" state="frozen"/>
      <selection pane="bottomLeft" activeCell="O1" sqref="O1"/>
    </sheetView>
  </sheetViews>
  <sheetFormatPr baseColWidth="10" defaultColWidth="9.1640625" defaultRowHeight="15" customHeight="1" x14ac:dyDescent="0.2"/>
  <cols>
    <col min="1" max="1" width="9.1640625" style="1"/>
    <col min="2" max="2" width="13" style="6" bestFit="1" customWidth="1"/>
    <col min="3" max="4" width="18.83203125" style="6" customWidth="1"/>
    <col min="5" max="5" width="8.6640625" style="1" customWidth="1"/>
    <col min="6" max="6" width="10.6640625" style="8" customWidth="1"/>
    <col min="7" max="7" width="13.6640625" style="21" customWidth="1"/>
    <col min="8" max="8" width="13.6640625" style="8" customWidth="1"/>
    <col min="9" max="9" width="31.6640625" style="1" customWidth="1"/>
    <col min="10" max="10" width="12.6640625" style="1" customWidth="1"/>
    <col min="11" max="11" width="11.6640625" style="1" customWidth="1"/>
    <col min="12" max="12" width="27" style="1" customWidth="1"/>
    <col min="13" max="13" width="26.6640625" style="1" customWidth="1"/>
    <col min="14" max="14" width="27.6640625" style="1" customWidth="1"/>
    <col min="15" max="16384" width="9.1640625" style="1"/>
  </cols>
  <sheetData>
    <row r="1" spans="1:14" ht="15" customHeight="1" x14ac:dyDescent="0.2">
      <c r="A1" s="3" t="s">
        <v>80</v>
      </c>
      <c r="B1" s="3" t="s">
        <v>81</v>
      </c>
      <c r="C1" s="3" t="s">
        <v>65</v>
      </c>
      <c r="D1" s="3" t="s">
        <v>69</v>
      </c>
      <c r="E1" s="7" t="s">
        <v>73</v>
      </c>
      <c r="F1" s="7" t="s">
        <v>67</v>
      </c>
      <c r="G1" s="20" t="s">
        <v>74</v>
      </c>
      <c r="H1" s="7" t="s">
        <v>75</v>
      </c>
      <c r="I1" s="3" t="s">
        <v>76</v>
      </c>
      <c r="J1" s="7" t="s">
        <v>77</v>
      </c>
      <c r="K1" s="7" t="s">
        <v>58</v>
      </c>
      <c r="L1" s="3" t="s">
        <v>78</v>
      </c>
      <c r="M1" s="3" t="s">
        <v>68</v>
      </c>
      <c r="N1" s="3" t="s">
        <v>79</v>
      </c>
    </row>
    <row r="2" spans="1:14" ht="15" customHeight="1" x14ac:dyDescent="0.2">
      <c r="A2" s="1">
        <v>35</v>
      </c>
      <c r="B2" s="6" t="s">
        <v>72</v>
      </c>
      <c r="C2" s="6" t="s">
        <v>66</v>
      </c>
      <c r="D2" s="6" t="s">
        <v>70</v>
      </c>
      <c r="E2" s="14">
        <v>3011</v>
      </c>
      <c r="F2" s="8">
        <v>1</v>
      </c>
      <c r="G2" s="21" t="str">
        <f t="shared" ref="G2:G9" si="0">LEFT(I2,FIND(" ",I2))</f>
        <v xml:space="preserve">Νικόλαος </v>
      </c>
      <c r="H2" s="21" t="str">
        <f t="shared" ref="H2:H9" si="1">MID(I2,FIND(" ",I2)+1,LEN(I2)-LEN(G2))</f>
        <v>Αρβανίτης</v>
      </c>
      <c r="I2" s="1" t="s">
        <v>23</v>
      </c>
      <c r="J2" s="22">
        <v>24705</v>
      </c>
      <c r="K2" s="22">
        <v>38792</v>
      </c>
      <c r="L2" s="1" t="s">
        <v>25</v>
      </c>
      <c r="M2" s="1" t="s">
        <v>8</v>
      </c>
      <c r="N2" s="16" t="s">
        <v>26</v>
      </c>
    </row>
    <row r="3" spans="1:14" ht="15" customHeight="1" x14ac:dyDescent="0.2">
      <c r="A3" s="1">
        <v>40</v>
      </c>
      <c r="B3" s="6" t="s">
        <v>72</v>
      </c>
      <c r="C3" s="6" t="s">
        <v>66</v>
      </c>
      <c r="D3" s="6" t="s">
        <v>70</v>
      </c>
      <c r="E3" s="14">
        <v>3557</v>
      </c>
      <c r="F3" s="8">
        <v>1</v>
      </c>
      <c r="G3" s="21" t="str">
        <f t="shared" si="0"/>
        <v xml:space="preserve">Νικόλαος </v>
      </c>
      <c r="H3" s="21" t="str">
        <f t="shared" si="1"/>
        <v>Αρβανίτης</v>
      </c>
      <c r="I3" s="1" t="s">
        <v>23</v>
      </c>
      <c r="J3" s="22">
        <v>24705</v>
      </c>
      <c r="K3" s="22">
        <v>39524</v>
      </c>
      <c r="L3" s="1" t="s">
        <v>16</v>
      </c>
      <c r="M3" s="1" t="s">
        <v>8</v>
      </c>
      <c r="N3" s="16" t="s">
        <v>27</v>
      </c>
    </row>
    <row r="4" spans="1:14" ht="15" customHeight="1" x14ac:dyDescent="0.2">
      <c r="A4" s="1">
        <v>45</v>
      </c>
      <c r="B4" s="6" t="s">
        <v>72</v>
      </c>
      <c r="C4" s="6" t="s">
        <v>66</v>
      </c>
      <c r="D4" s="6" t="s">
        <v>70</v>
      </c>
      <c r="E4" s="17">
        <v>2709</v>
      </c>
      <c r="F4" s="8">
        <v>1</v>
      </c>
      <c r="G4" s="21" t="str">
        <f t="shared" si="0"/>
        <v xml:space="preserve">Κωνσταντίνος </v>
      </c>
      <c r="H4" s="21" t="str">
        <f t="shared" si="1"/>
        <v>Χαμουρούδης</v>
      </c>
      <c r="I4" s="18" t="s">
        <v>28</v>
      </c>
      <c r="J4" s="22">
        <v>22302</v>
      </c>
      <c r="K4" s="22">
        <v>38792</v>
      </c>
      <c r="L4" s="1" t="s">
        <v>25</v>
      </c>
      <c r="M4" s="1" t="s">
        <v>8</v>
      </c>
      <c r="N4" s="16" t="s">
        <v>29</v>
      </c>
    </row>
    <row r="5" spans="1:14" ht="15" customHeight="1" x14ac:dyDescent="0.2">
      <c r="A5" s="1">
        <v>50</v>
      </c>
      <c r="B5" s="6" t="s">
        <v>72</v>
      </c>
      <c r="C5" s="6" t="s">
        <v>66</v>
      </c>
      <c r="D5" s="6" t="s">
        <v>70</v>
      </c>
      <c r="E5" s="17">
        <v>3602</v>
      </c>
      <c r="F5" s="8">
        <v>1</v>
      </c>
      <c r="G5" s="21" t="str">
        <f t="shared" si="0"/>
        <v xml:space="preserve">Βασίλειος </v>
      </c>
      <c r="H5" s="21" t="str">
        <f t="shared" si="1"/>
        <v>Ανδρεάδης</v>
      </c>
      <c r="I5" s="18" t="s">
        <v>22</v>
      </c>
      <c r="J5" s="22">
        <v>19769</v>
      </c>
      <c r="K5" s="22">
        <v>38795</v>
      </c>
      <c r="L5" s="1" t="s">
        <v>25</v>
      </c>
      <c r="M5" s="1" t="s">
        <v>8</v>
      </c>
      <c r="N5" s="16" t="s">
        <v>30</v>
      </c>
    </row>
    <row r="6" spans="1:14" ht="15" customHeight="1" x14ac:dyDescent="0.2">
      <c r="A6" s="1">
        <v>55</v>
      </c>
      <c r="B6" s="6" t="s">
        <v>72</v>
      </c>
      <c r="C6" s="6" t="s">
        <v>66</v>
      </c>
      <c r="D6" s="6" t="s">
        <v>70</v>
      </c>
      <c r="E6" s="17">
        <v>3575</v>
      </c>
      <c r="F6" s="8">
        <v>1</v>
      </c>
      <c r="G6" s="21" t="str">
        <f t="shared" si="0"/>
        <v xml:space="preserve">Βασίλειος </v>
      </c>
      <c r="H6" s="21" t="str">
        <f t="shared" si="1"/>
        <v>Ανδρεάδης</v>
      </c>
      <c r="I6" s="18" t="s">
        <v>22</v>
      </c>
      <c r="J6" s="22">
        <v>19769</v>
      </c>
      <c r="K6" s="22">
        <v>40618</v>
      </c>
      <c r="L6" s="1" t="s">
        <v>24</v>
      </c>
      <c r="M6" s="1" t="s">
        <v>15</v>
      </c>
      <c r="N6" s="16" t="s">
        <v>31</v>
      </c>
    </row>
    <row r="7" spans="1:14" ht="15" customHeight="1" x14ac:dyDescent="0.2">
      <c r="A7" s="1">
        <v>60</v>
      </c>
      <c r="B7" s="6" t="s">
        <v>72</v>
      </c>
      <c r="C7" s="6" t="s">
        <v>66</v>
      </c>
      <c r="D7" s="6" t="s">
        <v>70</v>
      </c>
      <c r="E7" s="17">
        <v>2757</v>
      </c>
      <c r="F7" s="8">
        <v>1</v>
      </c>
      <c r="G7" s="21" t="str">
        <f t="shared" si="0"/>
        <v xml:space="preserve">Παύλος </v>
      </c>
      <c r="H7" s="21" t="str">
        <f t="shared" si="1"/>
        <v>Μπασδέκης</v>
      </c>
      <c r="I7" s="18" t="s">
        <v>20</v>
      </c>
      <c r="J7" s="22">
        <v>21398</v>
      </c>
      <c r="K7" s="22">
        <v>43551</v>
      </c>
      <c r="L7" s="1" t="s">
        <v>9</v>
      </c>
      <c r="M7" s="1" t="s">
        <v>8</v>
      </c>
      <c r="N7" s="16" t="s">
        <v>32</v>
      </c>
    </row>
    <row r="8" spans="1:14" ht="15" customHeight="1" x14ac:dyDescent="0.2">
      <c r="A8" s="1">
        <v>65</v>
      </c>
      <c r="B8" s="6" t="s">
        <v>72</v>
      </c>
      <c r="C8" s="6" t="s">
        <v>66</v>
      </c>
      <c r="D8" s="6" t="s">
        <v>70</v>
      </c>
      <c r="E8" s="17">
        <v>3581</v>
      </c>
      <c r="F8" s="8">
        <v>1</v>
      </c>
      <c r="G8" s="21" t="str">
        <f t="shared" si="0"/>
        <v xml:space="preserve">Ιωάννης </v>
      </c>
      <c r="H8" s="21" t="str">
        <f t="shared" si="1"/>
        <v>Μπέλλος</v>
      </c>
      <c r="I8" s="1" t="s">
        <v>19</v>
      </c>
      <c r="J8" s="22">
        <v>13492</v>
      </c>
      <c r="K8" s="22">
        <v>37686</v>
      </c>
      <c r="L8" s="1" t="s">
        <v>21</v>
      </c>
      <c r="M8" s="1" t="s">
        <v>15</v>
      </c>
      <c r="N8" s="16" t="s">
        <v>33</v>
      </c>
    </row>
    <row r="9" spans="1:14" ht="15" customHeight="1" x14ac:dyDescent="0.2">
      <c r="A9" s="1">
        <v>50</v>
      </c>
      <c r="B9" s="6" t="s">
        <v>72</v>
      </c>
      <c r="C9" s="6" t="s">
        <v>66</v>
      </c>
      <c r="D9" s="6" t="s">
        <v>70</v>
      </c>
      <c r="E9" s="17">
        <v>3814</v>
      </c>
      <c r="F9" s="8">
        <v>1</v>
      </c>
      <c r="G9" s="21" t="str">
        <f t="shared" si="0"/>
        <v xml:space="preserve">Βασίλειος </v>
      </c>
      <c r="H9" s="21" t="str">
        <f t="shared" si="1"/>
        <v>Ανδρεάδης</v>
      </c>
      <c r="I9" s="18" t="s">
        <v>22</v>
      </c>
      <c r="J9" s="22">
        <v>19769</v>
      </c>
      <c r="K9" s="22">
        <v>45372</v>
      </c>
      <c r="L9" s="1" t="s">
        <v>9</v>
      </c>
      <c r="M9" s="1" t="s">
        <v>15</v>
      </c>
      <c r="N9" s="16" t="s">
        <v>50</v>
      </c>
    </row>
    <row r="10" spans="1:14" ht="15" customHeight="1" x14ac:dyDescent="0.2">
      <c r="A10" s="1">
        <v>40</v>
      </c>
      <c r="B10" s="6" t="s">
        <v>72</v>
      </c>
      <c r="C10" s="6" t="s">
        <v>71</v>
      </c>
      <c r="D10" s="6" t="s">
        <v>70</v>
      </c>
      <c r="E10" s="19">
        <v>2517</v>
      </c>
      <c r="F10" s="8">
        <v>1</v>
      </c>
      <c r="G10" s="21" t="str">
        <f t="shared" ref="G10:G14" si="2">LEFT(I10,FIND(" ",I10))</f>
        <v xml:space="preserve">Φανή </v>
      </c>
      <c r="H10" s="21" t="str">
        <f t="shared" ref="H10:H14" si="3">MID(I10,FIND(" ",I10)+1,LEN(I10)-LEN(G10))</f>
        <v>Λύκου</v>
      </c>
      <c r="I10" s="1" t="s">
        <v>35</v>
      </c>
      <c r="J10" s="22">
        <v>27803</v>
      </c>
      <c r="K10" s="22">
        <v>43553</v>
      </c>
      <c r="L10" s="1" t="s">
        <v>9</v>
      </c>
      <c r="M10" s="1" t="s">
        <v>8</v>
      </c>
      <c r="N10" s="19" t="s">
        <v>37</v>
      </c>
    </row>
    <row r="11" spans="1:14" ht="15" customHeight="1" x14ac:dyDescent="0.2">
      <c r="A11" s="1">
        <v>55</v>
      </c>
      <c r="B11" s="6" t="s">
        <v>72</v>
      </c>
      <c r="C11" s="6" t="s">
        <v>71</v>
      </c>
      <c r="D11" s="6" t="s">
        <v>70</v>
      </c>
      <c r="E11" s="19">
        <v>1673</v>
      </c>
      <c r="F11" s="8">
        <v>1</v>
      </c>
      <c r="G11" s="21" t="str">
        <f t="shared" si="2"/>
        <v xml:space="preserve">Ελένη </v>
      </c>
      <c r="H11" s="21" t="str">
        <f t="shared" si="3"/>
        <v>Γκούζια</v>
      </c>
      <c r="I11" s="1" t="s">
        <v>43</v>
      </c>
      <c r="J11" s="22">
        <v>16444</v>
      </c>
      <c r="K11" s="22">
        <v>37987</v>
      </c>
      <c r="L11" s="1" t="s">
        <v>44</v>
      </c>
      <c r="M11" s="1" t="s">
        <v>8</v>
      </c>
      <c r="N11" s="1" t="s">
        <v>45</v>
      </c>
    </row>
    <row r="12" spans="1:14" ht="15" customHeight="1" x14ac:dyDescent="0.2">
      <c r="A12" s="1">
        <v>60</v>
      </c>
      <c r="B12" s="6" t="s">
        <v>72</v>
      </c>
      <c r="C12" s="6" t="s">
        <v>71</v>
      </c>
      <c r="D12" s="6" t="s">
        <v>70</v>
      </c>
      <c r="E12" s="19">
        <v>2099</v>
      </c>
      <c r="F12" s="8">
        <v>1</v>
      </c>
      <c r="G12" s="21" t="str">
        <f t="shared" si="2"/>
        <v xml:space="preserve">Ελένη </v>
      </c>
      <c r="H12" s="21" t="str">
        <f t="shared" si="3"/>
        <v>Γκούζια</v>
      </c>
      <c r="I12" s="1" t="s">
        <v>43</v>
      </c>
      <c r="J12" s="22">
        <v>16444</v>
      </c>
      <c r="K12" s="22">
        <v>38718</v>
      </c>
      <c r="L12" s="1" t="s">
        <v>25</v>
      </c>
      <c r="M12" s="1" t="s">
        <v>8</v>
      </c>
      <c r="N12" s="19" t="s">
        <v>38</v>
      </c>
    </row>
    <row r="13" spans="1:14" ht="15" customHeight="1" x14ac:dyDescent="0.2">
      <c r="A13" s="1">
        <v>65</v>
      </c>
      <c r="B13" s="6" t="s">
        <v>72</v>
      </c>
      <c r="C13" s="6" t="s">
        <v>71</v>
      </c>
      <c r="D13" s="6" t="s">
        <v>70</v>
      </c>
      <c r="E13" s="19">
        <v>2454</v>
      </c>
      <c r="F13" s="8">
        <v>1</v>
      </c>
      <c r="G13" s="21" t="str">
        <f t="shared" si="2"/>
        <v xml:space="preserve">Ελένη </v>
      </c>
      <c r="H13" s="21" t="str">
        <f t="shared" si="3"/>
        <v>Γκούζια</v>
      </c>
      <c r="I13" s="1" t="s">
        <v>43</v>
      </c>
      <c r="J13" s="22">
        <v>16444</v>
      </c>
      <c r="K13" s="22">
        <v>40621</v>
      </c>
      <c r="L13" s="1" t="s">
        <v>24</v>
      </c>
      <c r="M13" s="1" t="s">
        <v>15</v>
      </c>
      <c r="N13" s="19" t="s">
        <v>39</v>
      </c>
    </row>
    <row r="14" spans="1:14" ht="15" customHeight="1" x14ac:dyDescent="0.2">
      <c r="A14" s="1">
        <v>70</v>
      </c>
      <c r="B14" s="6" t="s">
        <v>72</v>
      </c>
      <c r="C14" s="6" t="s">
        <v>71</v>
      </c>
      <c r="D14" s="6" t="s">
        <v>70</v>
      </c>
      <c r="E14" s="19">
        <v>2700</v>
      </c>
      <c r="F14" s="8">
        <v>1</v>
      </c>
      <c r="G14" s="21" t="str">
        <f t="shared" si="2"/>
        <v xml:space="preserve">Ελένη </v>
      </c>
      <c r="H14" s="21" t="str">
        <f t="shared" si="3"/>
        <v>Γκούζια</v>
      </c>
      <c r="I14" s="1" t="s">
        <v>43</v>
      </c>
      <c r="J14" s="22">
        <v>16444</v>
      </c>
      <c r="K14" s="22">
        <v>42090</v>
      </c>
      <c r="L14" s="1" t="s">
        <v>9</v>
      </c>
      <c r="M14" s="1" t="s">
        <v>15</v>
      </c>
      <c r="N14" s="19" t="s">
        <v>40</v>
      </c>
    </row>
  </sheetData>
  <autoFilter ref="B1:O14" xr:uid="{00000000-0001-0000-0000-000000000000}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RowHeight="15" x14ac:dyDescent="0.2"/>
  <sheetData>
    <row r="1" spans="1:11" s="1" customFormat="1" ht="15" customHeight="1" x14ac:dyDescent="0.2">
      <c r="A1" s="2" t="s">
        <v>52</v>
      </c>
      <c r="B1" s="7" t="s">
        <v>54</v>
      </c>
      <c r="C1" s="3" t="s">
        <v>53</v>
      </c>
      <c r="D1" s="3" t="s">
        <v>59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7</v>
      </c>
      <c r="J1" s="3" t="s">
        <v>6</v>
      </c>
      <c r="K1" s="3" t="s">
        <v>49</v>
      </c>
    </row>
    <row r="2" spans="1:11" x14ac:dyDescent="0.2">
      <c r="A2" s="9" t="s">
        <v>10</v>
      </c>
      <c r="B2" s="10">
        <v>1</v>
      </c>
      <c r="C2" s="11" t="s">
        <v>18</v>
      </c>
      <c r="D2" s="11" t="str">
        <f t="shared" ref="D2:D5" si="0">CONCATENATE(C2,"-",A2)</f>
        <v>Μήκος-Μ55</v>
      </c>
      <c r="E2" s="12">
        <v>5.39</v>
      </c>
      <c r="F2" s="9" t="s">
        <v>61</v>
      </c>
      <c r="G2" s="13" t="s">
        <v>62</v>
      </c>
      <c r="H2" s="13" t="s">
        <v>63</v>
      </c>
      <c r="I2" s="9" t="s">
        <v>64</v>
      </c>
      <c r="J2" s="9" t="s">
        <v>41</v>
      </c>
      <c r="K2" s="9">
        <v>2025</v>
      </c>
    </row>
    <row r="3" spans="1:11" x14ac:dyDescent="0.2">
      <c r="A3" s="1" t="s">
        <v>10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4</v>
      </c>
      <c r="G3" s="5" t="s">
        <v>5</v>
      </c>
      <c r="H3" s="5" t="s">
        <v>48</v>
      </c>
      <c r="I3" s="1" t="s">
        <v>9</v>
      </c>
      <c r="J3" s="1" t="s">
        <v>15</v>
      </c>
      <c r="K3" s="1"/>
    </row>
    <row r="4" spans="1:11" x14ac:dyDescent="0.2">
      <c r="A4" s="1" t="s">
        <v>11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12</v>
      </c>
      <c r="G4" s="5" t="s">
        <v>13</v>
      </c>
      <c r="H4" s="5" t="s">
        <v>42</v>
      </c>
      <c r="I4" s="1" t="s">
        <v>9</v>
      </c>
      <c r="J4" s="1" t="s">
        <v>8</v>
      </c>
    </row>
    <row r="5" spans="1:11" x14ac:dyDescent="0.2">
      <c r="A5" s="1" t="s">
        <v>34</v>
      </c>
      <c r="B5" s="8">
        <v>1</v>
      </c>
      <c r="C5" s="6">
        <v>200</v>
      </c>
      <c r="D5" s="6" t="str">
        <f t="shared" si="0"/>
        <v>200-W55</v>
      </c>
      <c r="E5" s="15" t="s">
        <v>51</v>
      </c>
      <c r="F5" s="1" t="s">
        <v>17</v>
      </c>
      <c r="G5" s="5" t="s">
        <v>36</v>
      </c>
      <c r="H5" s="5" t="s">
        <v>47</v>
      </c>
      <c r="I5" s="1" t="s">
        <v>46</v>
      </c>
      <c r="J5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60</v>
      </c>
      <c r="B1" t="s">
        <v>55</v>
      </c>
    </row>
    <row r="2" spans="1:2" x14ac:dyDescent="0.2">
      <c r="A2" t="s">
        <v>56</v>
      </c>
      <c r="B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2026-02-21T14:24:29Z</dcterms:modified>
</cp:coreProperties>
</file>