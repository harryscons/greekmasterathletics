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filterPrivacy="1" defaultThemeVersion="124226"/>
  <xr:revisionPtr revIDLastSave="0" documentId="13_ncr:1_{CBFE8323-4CB2-8445-B582-CFE527BE730B}" xr6:coauthVersionLast="47" xr6:coauthVersionMax="47" xr10:uidLastSave="{00000000-0000-0000-0000-000000000000}"/>
  <bookViews>
    <workbookView xWindow="6260" yWindow="1860" windowWidth="26020" windowHeight="18820" xr2:uid="{00000000-000D-0000-FFFF-FFFF00000000}"/>
  </bookViews>
  <sheets>
    <sheet name="Εθνικά Ρεκορ" sheetId="2" r:id="rId1"/>
    <sheet name="Ανεπίσημα Εθνικά Ρεκορ" sheetId="5" r:id="rId2"/>
    <sheet name="Καταρίψεις" sheetId="4" r:id="rId3"/>
    <sheet name="Database Names" sheetId="6" r:id="rId4"/>
  </sheets>
  <definedNames>
    <definedName name="_xlnm._FilterDatabase" localSheetId="3" hidden="1">'Database Names'!$A$1:$B$262</definedName>
    <definedName name="_xlnm._FilterDatabase" localSheetId="1" hidden="1">'Ανεπίσημα Εθνικά Ρεκορ'!$A$2:$N$11</definedName>
    <definedName name="_xlnm._FilterDatabase" localSheetId="0" hidden="1">'Εθνικά Ρεκορ'!$A$1:$O$46</definedName>
    <definedName name="_xlnm.Print_Area" localSheetId="0">'Εθνικά Ρεκορ'!$A:$K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2" l="1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P2" i="2"/>
  <c r="P3" i="2"/>
  <c r="P4" i="2"/>
  <c r="P5" i="2"/>
  <c r="P6" i="2"/>
  <c r="P7" i="2"/>
  <c r="P8" i="2"/>
  <c r="H8" i="2" s="1"/>
  <c r="P9" i="2"/>
  <c r="H9" i="2" s="1"/>
  <c r="P10" i="2"/>
  <c r="P11" i="2"/>
  <c r="H11" i="2" s="1"/>
  <c r="P12" i="2"/>
  <c r="P13" i="2"/>
  <c r="P14" i="2"/>
  <c r="P15" i="2"/>
  <c r="P16" i="2"/>
  <c r="P17" i="2"/>
  <c r="P18" i="2"/>
  <c r="H18" i="2" s="1"/>
  <c r="P19" i="2"/>
  <c r="H19" i="2" s="1"/>
  <c r="P20" i="2"/>
  <c r="P21" i="2"/>
  <c r="H21" i="2" s="1"/>
  <c r="P22" i="2"/>
  <c r="P23" i="2"/>
  <c r="P24" i="2"/>
  <c r="P25" i="2"/>
  <c r="P26" i="2"/>
  <c r="P27" i="2"/>
  <c r="P28" i="2"/>
  <c r="H28" i="2" s="1"/>
  <c r="P29" i="2"/>
  <c r="H29" i="2" s="1"/>
  <c r="P30" i="2"/>
  <c r="P31" i="2"/>
  <c r="H31" i="2" s="1"/>
  <c r="P32" i="2"/>
  <c r="P33" i="2"/>
  <c r="P34" i="2"/>
  <c r="P35" i="2"/>
  <c r="P36" i="2"/>
  <c r="P37" i="2"/>
  <c r="P38" i="2"/>
  <c r="H38" i="2" s="1"/>
  <c r="P39" i="2"/>
  <c r="H39" i="2" s="1"/>
  <c r="P40" i="2"/>
  <c r="P41" i="2"/>
  <c r="H41" i="2" s="1"/>
  <c r="P42" i="2"/>
  <c r="P43" i="2"/>
  <c r="P44" i="2"/>
  <c r="P45" i="2"/>
  <c r="P46" i="2"/>
  <c r="N76" i="4"/>
  <c r="N75" i="4"/>
  <c r="N74" i="4"/>
  <c r="N73" i="4"/>
  <c r="N71" i="4"/>
  <c r="N70" i="4"/>
  <c r="N66" i="4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M13" i="5"/>
  <c r="M12" i="5"/>
  <c r="H2" i="2"/>
  <c r="H43" i="2" l="1"/>
  <c r="H33" i="2"/>
  <c r="H23" i="2"/>
  <c r="H13" i="2"/>
  <c r="H45" i="2"/>
  <c r="H35" i="2"/>
  <c r="H25" i="2"/>
  <c r="H15" i="2"/>
  <c r="H5" i="2"/>
  <c r="H3" i="2"/>
  <c r="H46" i="2"/>
  <c r="H36" i="2"/>
  <c r="H26" i="2"/>
  <c r="H16" i="2"/>
  <c r="H6" i="2"/>
  <c r="H44" i="2"/>
  <c r="H34" i="2"/>
  <c r="H24" i="2"/>
  <c r="H14" i="2"/>
  <c r="H4" i="2"/>
  <c r="H42" i="2"/>
  <c r="H32" i="2"/>
  <c r="H22" i="2"/>
  <c r="H12" i="2"/>
  <c r="H37" i="2"/>
  <c r="H27" i="2"/>
  <c r="H17" i="2"/>
  <c r="H7" i="2"/>
  <c r="H40" i="2"/>
  <c r="H30" i="2"/>
  <c r="H20" i="2"/>
  <c r="H10" i="2"/>
</calcChain>
</file>

<file path=xl/sharedStrings.xml><?xml version="1.0" encoding="utf-8"?>
<sst xmlns="http://schemas.openxmlformats.org/spreadsheetml/2006/main" count="1353" uniqueCount="607">
  <si>
    <t>Μ35</t>
  </si>
  <si>
    <t>Επίδοση</t>
  </si>
  <si>
    <t xml:space="preserve">Ονοματεπώνυμο </t>
  </si>
  <si>
    <t>Ημ. Γέννησης</t>
  </si>
  <si>
    <t xml:space="preserve">Ημερομηνία </t>
  </si>
  <si>
    <t>Μ45</t>
  </si>
  <si>
    <t xml:space="preserve">Νικόλαος Γιανναδάκης </t>
  </si>
  <si>
    <t xml:space="preserve">Διοργάνωση </t>
  </si>
  <si>
    <t>Τόπος</t>
  </si>
  <si>
    <t>Μ50</t>
  </si>
  <si>
    <t>Μ55</t>
  </si>
  <si>
    <t>Μ60</t>
  </si>
  <si>
    <t>Μ65</t>
  </si>
  <si>
    <t>Μ70</t>
  </si>
  <si>
    <t>Μ75</t>
  </si>
  <si>
    <t>Βαλκανικό Πρωτάθλημα</t>
  </si>
  <si>
    <t>Μ90</t>
  </si>
  <si>
    <t>Άνεμος</t>
  </si>
  <si>
    <t>Ιωάννης Ζογλοπίτης</t>
  </si>
  <si>
    <t>Αλεξανδρούπολη</t>
  </si>
  <si>
    <t>22.90</t>
  </si>
  <si>
    <t>(-1.1)</t>
  </si>
  <si>
    <t>Ηράκλειο</t>
  </si>
  <si>
    <t>Κνώσεια</t>
  </si>
  <si>
    <t>Αλέξανδρος Τερζιάν</t>
  </si>
  <si>
    <t>Λεωνίδας Πάλλης</t>
  </si>
  <si>
    <t>Διονύσιος Αργυρόπουλος</t>
  </si>
  <si>
    <t>Βουκουρέστι, Ρουμανία</t>
  </si>
  <si>
    <t>(+1.3)</t>
  </si>
  <si>
    <t>11.56</t>
  </si>
  <si>
    <t>Μάριος Χριστοφορίδης</t>
  </si>
  <si>
    <t>Πανελλήνιο Πρωτάθλημα</t>
  </si>
  <si>
    <t>Αθήνα</t>
  </si>
  <si>
    <t>Ημερίδα ΟΕΒΑΣ</t>
  </si>
  <si>
    <t>Βόλος</t>
  </si>
  <si>
    <t>Παύλος Χαραλαμπίδης</t>
  </si>
  <si>
    <t>Φιλοθέη</t>
  </si>
  <si>
    <t>Ευσταθιάδεια</t>
  </si>
  <si>
    <t>Ιωάννης Γρανίτσας</t>
  </si>
  <si>
    <t>Χρύσανθος Μπιλιούρης</t>
  </si>
  <si>
    <t>Χαλκίδα</t>
  </si>
  <si>
    <t>Σμύρνη, Τουρκία</t>
  </si>
  <si>
    <t>Κωνσταντίνος Χατζηεμμανουήλ</t>
  </si>
  <si>
    <t>Ανδρέας Πολυχρονόπουλος</t>
  </si>
  <si>
    <t>Στάρα Ζαγόρα, Βουλγαρία</t>
  </si>
  <si>
    <t>Οδυσσέας Σκαμαντζούρας</t>
  </si>
  <si>
    <t>Τρίκαλα</t>
  </si>
  <si>
    <t>Ιωάννης Χουλίδης</t>
  </si>
  <si>
    <t>Πανευρωπαϊκό Πρωτάθλημα</t>
  </si>
  <si>
    <t>Στυλιανός Δημότσιος</t>
  </si>
  <si>
    <t>51.31</t>
  </si>
  <si>
    <t>Αντώνιος Καταντωνάκης</t>
  </si>
  <si>
    <t>Μάλαγα, Ισπανία</t>
  </si>
  <si>
    <t>Παγκόσμιο Πρωτάθλημα</t>
  </si>
  <si>
    <t>Αθήνα, Αγ. Κοσμάς</t>
  </si>
  <si>
    <t>Βλαδίμηρος Ελευθεριάδης</t>
  </si>
  <si>
    <t>Νιρεγκιάζα, Ουγγαρία</t>
  </si>
  <si>
    <t>Αντώνιος Μόρφης</t>
  </si>
  <si>
    <t>Παναγιώτης Κανακάρης</t>
  </si>
  <si>
    <t>Απόστολος Βενετιάδης</t>
  </si>
  <si>
    <t>Θεσσαλονίκη</t>
  </si>
  <si>
    <t>Περικλής Ιακωβάκης</t>
  </si>
  <si>
    <t>Παναγιώτης Δούσης</t>
  </si>
  <si>
    <t>Φώτιος Κούρτης</t>
  </si>
  <si>
    <t>Δράμα</t>
  </si>
  <si>
    <t>Ιούλιος Αρμάος</t>
  </si>
  <si>
    <t xml:space="preserve">Ευκλίδης Παπαντωνιάδης </t>
  </si>
  <si>
    <t>Γεώργιος Θεοδωσίου</t>
  </si>
  <si>
    <t>Πόζναν, Πολωνία</t>
  </si>
  <si>
    <t>Καρδίτσα</t>
  </si>
  <si>
    <t>Παναγιώτης Γάκης</t>
  </si>
  <si>
    <t>Περθ, Αυστραλία</t>
  </si>
  <si>
    <t>Χαράλαμπος Κωνσταντινίδης</t>
  </si>
  <si>
    <t>Μιχαήλ Γκαγκάδης</t>
  </si>
  <si>
    <t>Άαρχους, Δανία</t>
  </si>
  <si>
    <t>Νικόλαος Βαγγελάκης</t>
  </si>
  <si>
    <t>5.47.88</t>
  </si>
  <si>
    <t>Στυλιανός Πρασσάς</t>
  </si>
  <si>
    <t>Σπυρίδων Ανδριόπουλος</t>
  </si>
  <si>
    <t>Παναγιώτης Παπανδρεόπουλος</t>
  </si>
  <si>
    <t>Κατερίνη</t>
  </si>
  <si>
    <t>5.000μ.</t>
  </si>
  <si>
    <t>Οδυσσέας Άγρος</t>
  </si>
  <si>
    <t>13.44.56</t>
  </si>
  <si>
    <t>Κωνσταντίνος Παπαδάτος</t>
  </si>
  <si>
    <t>Ηρακλής Βασιλειάδης</t>
  </si>
  <si>
    <t>Αθήνα, Μαρούσι</t>
  </si>
  <si>
    <t>Πανελλήνιο Πρωτάθλημα Α/Γ</t>
  </si>
  <si>
    <t>16.54.40</t>
  </si>
  <si>
    <t>Γεώργιος Σίκαλος</t>
  </si>
  <si>
    <t>Ευστράτιος Καστερίδης</t>
  </si>
  <si>
    <t>Ιωάννης Σαριδάκης</t>
  </si>
  <si>
    <t>ΠΑΝΕΛΛΗΝΙΑ ΡΕΚΟΡ ΑΝΟΙΚΤΟΥ ΣΤΙΒΟΥ ΔΙΑΧΡΟΝΙΚΏΝ ΑΘΛΗΤΩΝ</t>
  </si>
  <si>
    <t>Γεώργιος Καραβίδας</t>
  </si>
  <si>
    <t>Μέγαρα</t>
  </si>
  <si>
    <t>Αθήνα, Αγ. Δημήτριος</t>
  </si>
  <si>
    <t>Λιοφίλια</t>
  </si>
  <si>
    <t>Masters Gala</t>
  </si>
  <si>
    <t>Χρήστος Βαρτζάκης</t>
  </si>
  <si>
    <t>44.03.06</t>
  </si>
  <si>
    <t>Ημιμαραθώνιος</t>
  </si>
  <si>
    <t>Γεώργιος Γιαννακάκης</t>
  </si>
  <si>
    <t>Νικόλαος Αλεξόπουλος</t>
  </si>
  <si>
    <t>Θεόδωρος Αναγνώστου</t>
  </si>
  <si>
    <t>1:24.13</t>
  </si>
  <si>
    <t>Ιωάννης Ζώρζος</t>
  </si>
  <si>
    <t>Μαραθώνιος</t>
  </si>
  <si>
    <t>Δημοσθένης Ευαγγελίδης</t>
  </si>
  <si>
    <t>Λιουμπλιάνα, Σλοβενία</t>
  </si>
  <si>
    <t>Ντέρμπαν, Ν. Αφρική</t>
  </si>
  <si>
    <t>Ιωάννης Μπέλλος</t>
  </si>
  <si>
    <t>Πότσδαμ, Γερμανία</t>
  </si>
  <si>
    <t xml:space="preserve">Μιχαήλ Μαλατίδης </t>
  </si>
  <si>
    <t>Βασίλειος Ανδρεάδης</t>
  </si>
  <si>
    <t>Συμεών Συμεωνίδης</t>
  </si>
  <si>
    <t>Δημήτριος Τζεφάλης</t>
  </si>
  <si>
    <t>Ιωάννης Δρουδάκης</t>
  </si>
  <si>
    <t>Αριάδνη Δάδα</t>
  </si>
  <si>
    <t>W40</t>
  </si>
  <si>
    <t>W50</t>
  </si>
  <si>
    <t>W55</t>
  </si>
  <si>
    <t>W60</t>
  </si>
  <si>
    <t>W70</t>
  </si>
  <si>
    <t>Σταματία Φώτα</t>
  </si>
  <si>
    <t>Αντιγόνη Ντρισμπιώτη</t>
  </si>
  <si>
    <t>Αγγελική Μακρή</t>
  </si>
  <si>
    <t>Σφαίρα</t>
  </si>
  <si>
    <t>Μαρία Πολομαρκάκη</t>
  </si>
  <si>
    <t>Φωτεινή Κυριακίδου</t>
  </si>
  <si>
    <t>Σφύρα</t>
  </si>
  <si>
    <t>Βαρύ 'Οργανο</t>
  </si>
  <si>
    <t>Ζεύξεια</t>
  </si>
  <si>
    <t>Ησάιας Τσιτόγλου</t>
  </si>
  <si>
    <t>Δημήτριος Τσιάμης</t>
  </si>
  <si>
    <t>Ακόντιο</t>
  </si>
  <si>
    <t>Γεώργιος Ήλτσιος</t>
  </si>
  <si>
    <t>Ευθύμιος Ανδρέογλου</t>
  </si>
  <si>
    <t>Σταύρος Τσίτουρας</t>
  </si>
  <si>
    <t>Ρήγας Ευσταθιάδης</t>
  </si>
  <si>
    <t>Ηλίας Σακελλαριάδης</t>
  </si>
  <si>
    <t>Νικόλαος Δέδες</t>
  </si>
  <si>
    <t>Μιχαήλ Σταματόγιαννης</t>
  </si>
  <si>
    <t>Στέφανος Πετράκης</t>
  </si>
  <si>
    <t>Σπυρίδων Ζουλιέν</t>
  </si>
  <si>
    <t>2:55.59</t>
  </si>
  <si>
    <t>Ιώαννης Ζώρζος</t>
  </si>
  <si>
    <t xml:space="preserve">Πανελλήνιο Πρωτάθλημα </t>
  </si>
  <si>
    <t>Άρης Καραγιώργος</t>
  </si>
  <si>
    <t>Χρήστος Καραγιώργος</t>
  </si>
  <si>
    <t>Γεώργιος Φακιολάς</t>
  </si>
  <si>
    <t>Ιωάννης Κυρδήμος</t>
  </si>
  <si>
    <t>Ιωάννης Τσίχλας</t>
  </si>
  <si>
    <t>Γεώργιος Μπιστόλας</t>
  </si>
  <si>
    <t>Κωνσταντίνος Καμπάς</t>
  </si>
  <si>
    <t>Σπυρίδων Καστάνης</t>
  </si>
  <si>
    <t>Παύλος Μπασδέκης</t>
  </si>
  <si>
    <t>Γεώργιος Φαρμάκης</t>
  </si>
  <si>
    <t>Δημήτριος Καττής</t>
  </si>
  <si>
    <t>Δημήτριος Πατρώνης</t>
  </si>
  <si>
    <t>1.60</t>
  </si>
  <si>
    <t>Κωνσταντίνος Τζίβας</t>
  </si>
  <si>
    <t>Μήκος</t>
  </si>
  <si>
    <t>3.57</t>
  </si>
  <si>
    <t>Μπρίσμπεϊν, Αυστραλία</t>
  </si>
  <si>
    <t>Δημήτριος Μαρκούτης</t>
  </si>
  <si>
    <t>Ιμπράιμ Φαναρτζής</t>
  </si>
  <si>
    <t>Βασίλειος Μαγγανάς</t>
  </si>
  <si>
    <t>Αθανάσιος Δαλιάνης</t>
  </si>
  <si>
    <t>Διονύσιος Αυγουστάτος</t>
  </si>
  <si>
    <t>Μιλτιάδης Μπουφίδης</t>
  </si>
  <si>
    <t>Δίσκος</t>
  </si>
  <si>
    <t>Στυλιανός Αγγλούπας</t>
  </si>
  <si>
    <t>Άγγελος Νικολάιδης</t>
  </si>
  <si>
    <t>Νικόλαος Τσιάρας</t>
  </si>
  <si>
    <t>Σπυρίδων Ροντογιάννης</t>
  </si>
  <si>
    <t>Βασίλειος Κυριακίδης</t>
  </si>
  <si>
    <t>Μιχαήλ Μπίλιος</t>
  </si>
  <si>
    <t>Ναπολέων Ντέμος</t>
  </si>
  <si>
    <t>Αλέξανδρος Παπαδημητρίου</t>
  </si>
  <si>
    <t>M80 (400)</t>
  </si>
  <si>
    <t>Γεώργιος Κοτζιάς</t>
  </si>
  <si>
    <t>Χρήστος Πιερράκος</t>
  </si>
  <si>
    <t>Βασίλειος Κοκκόλης</t>
  </si>
  <si>
    <t>Συμεών Ρόμπες</t>
  </si>
  <si>
    <t>Λάχτι, Φινλανδία</t>
  </si>
  <si>
    <t>Πυγμαλίων Νέπκας</t>
  </si>
  <si>
    <t>Δημήτριος Γαζής</t>
  </si>
  <si>
    <t>61.46 - 16.30 - 32.86 - 41.04 - 18.66</t>
  </si>
  <si>
    <t>32.19 - 11.05 - 30.29 - 34.95 - 9.09)</t>
  </si>
  <si>
    <t>56.69 - 16.18 - 37.22 - 42.33 - 18.92</t>
  </si>
  <si>
    <t>57.90 - 15.98 - 41.61 - 39.61 - 20.77</t>
  </si>
  <si>
    <t>54.05 - 14.51 - 35.68 - 35.87 - 17.97</t>
  </si>
  <si>
    <t>51.73 - 14.08 - 35.80 32.13 -18.59</t>
  </si>
  <si>
    <t>46.66 - 13.71 - 34.72 - 26.30 - 17.26</t>
  </si>
  <si>
    <t>Δημήτριος Αποστολίδης</t>
  </si>
  <si>
    <t>4.78 30.78 - 26.08 - 20.38 - 5.07.87</t>
  </si>
  <si>
    <t>Νικόλαος Αρβανίτης</t>
  </si>
  <si>
    <t>6.15 - 45.55 - 25.19 - 35.70 - 5.32.15</t>
  </si>
  <si>
    <t>6.37 - 44.42 - 25.29 - 38.00 - 5.33.2</t>
  </si>
  <si>
    <t>Δημήτριος Χαϊτίδης</t>
  </si>
  <si>
    <t>4.66 - 30.11 - 29.44 - 36.83 - 6.31.67</t>
  </si>
  <si>
    <t>11.98 - 6.60 - 13.07 - 1.91 - 54.89 - 15.93 - 38.92 - 4.30 - 50.23 - 4.59.14</t>
  </si>
  <si>
    <t>11.89 - 6.35 - 10.16 - 1.84 - 57.15 - 16.81 - 35.13 - 3.80 - 45.54 - 5.49.22</t>
  </si>
  <si>
    <t>Κωνσταντίνος Χαμουρούδης</t>
  </si>
  <si>
    <t>14.18 - 4.75 - 9.83 - 1.31 - 68.90 - 19.66 - 35.92 - 2.40 - 28.17 - 6.24.59</t>
  </si>
  <si>
    <t>Παρακευή Πατουλίδου</t>
  </si>
  <si>
    <t>Άννα Δάφτσου</t>
  </si>
  <si>
    <t>Αναστασία Θωμάιδου</t>
  </si>
  <si>
    <t>Μαρία Μουρατίδου</t>
  </si>
  <si>
    <t>Ελένη Γκούζια</t>
  </si>
  <si>
    <t>Μαρία Σιακούλη</t>
  </si>
  <si>
    <t>Γεωργία Βαρέλη</t>
  </si>
  <si>
    <t>33.90</t>
  </si>
  <si>
    <t>Χριστιάννα Γαρίδη</t>
  </si>
  <si>
    <t>27.10</t>
  </si>
  <si>
    <t>Ελένη Παπαδημητρίου</t>
  </si>
  <si>
    <t>Σοφία Κατάκη</t>
  </si>
  <si>
    <t xml:space="preserve">Άλκιστης Κατσικαδέλη </t>
  </si>
  <si>
    <t>1.10.23</t>
  </si>
  <si>
    <t>Ζωή Γεωργοπούλου</t>
  </si>
  <si>
    <t>Μπαρ, Μαυροβούνιο</t>
  </si>
  <si>
    <t>Σμαράγδα Μανδύλα</t>
  </si>
  <si>
    <t>Μαρία Παπαδόπουλου</t>
  </si>
  <si>
    <t>Βασιλική Καραγεωργάκη</t>
  </si>
  <si>
    <t>Δέσποινα Βίγκα</t>
  </si>
  <si>
    <t>Μαρία Τσαντίλη</t>
  </si>
  <si>
    <t>Κωνσταντίνα Κεφαλά</t>
  </si>
  <si>
    <t>Σπυριδούλα Σούμα</t>
  </si>
  <si>
    <t>Γεωργία Αμπατζίδου</t>
  </si>
  <si>
    <t>Ελένη Διακουμοπούλου</t>
  </si>
  <si>
    <t>Γεωργία Στεφάνου</t>
  </si>
  <si>
    <t>Μάγδα Γαζέα</t>
  </si>
  <si>
    <t>Ραχήλ Κυριακίδου</t>
  </si>
  <si>
    <t>Παρασκευή Τζεβελέκη</t>
  </si>
  <si>
    <t>Αργυρώ Στρατάκη</t>
  </si>
  <si>
    <t>Σχηματάρι</t>
  </si>
  <si>
    <t>Φανή Λύκου</t>
  </si>
  <si>
    <t>Χρυσούλα Δημητροπούλου</t>
  </si>
  <si>
    <t>Σαν Σεμπαστιάν, Ισπανία</t>
  </si>
  <si>
    <t>Χριστίνα Χατζή-Νεάγκ</t>
  </si>
  <si>
    <t>Βαρβάρα Γεωργιάδου</t>
  </si>
  <si>
    <t>Καλλιόπη Γαβαλάκη</t>
  </si>
  <si>
    <t>Παναγιώτα Φυτίλη</t>
  </si>
  <si>
    <t>Κοσμή Μπενίτη</t>
  </si>
  <si>
    <t>22.30.0</t>
  </si>
  <si>
    <t>Βενετία, Ιταλία</t>
  </si>
  <si>
    <t>Παρασκευή Σιδερίδου</t>
  </si>
  <si>
    <t>Αθηνά Βαϊνά (8.12.59)</t>
  </si>
  <si>
    <t xml:space="preserve">Αριάδνη Τσαχάκη </t>
  </si>
  <si>
    <t>Νίκη Μπακογιάννη</t>
  </si>
  <si>
    <t>Ελένη Κλαπανάρα</t>
  </si>
  <si>
    <t>Αγνή Γεωργίου</t>
  </si>
  <si>
    <t>Ταρσή Τριανταφυλλάκη</t>
  </si>
  <si>
    <t>Σοφία Φιλιπάκη</t>
  </si>
  <si>
    <t>Μάγδα Ροϊλλίδου</t>
  </si>
  <si>
    <t>30.00</t>
  </si>
  <si>
    <t>Αρετή Αμπατζή</t>
  </si>
  <si>
    <t>Μαρία Δάλλα</t>
  </si>
  <si>
    <t>Χλόη Αγγλούπα</t>
  </si>
  <si>
    <t>Ιωάννα Πανάβογλου</t>
  </si>
  <si>
    <t>Αμαλία Λάμπουρα</t>
  </si>
  <si>
    <t>Σάββα Λίκα</t>
  </si>
  <si>
    <t>Σοφία Σακοράφα</t>
  </si>
  <si>
    <t>33.44 - 9.47 - 28.65 - 21.62 - 10.30</t>
  </si>
  <si>
    <t>19.59 - 1.06 - 7.54 - 38.74 - 3.49 - 19.34 - 3.58.16</t>
  </si>
  <si>
    <t>37.60 - 8.21 - 32.69 - 19.69 - 12.45</t>
  </si>
  <si>
    <t>39.60 - 8.74 - 33.28 - 19.68 - 12.98</t>
  </si>
  <si>
    <t>22.60 - 1.08 - 6.74 - 3.55 - 4.00.81</t>
  </si>
  <si>
    <t>13.96 - 1.73 - 13.48 - 25.09 - 6.11 - 44.09 - 2.14.74</t>
  </si>
  <si>
    <t>15.32 - 1.38 - 7.32 - 29.38 - 4.94 - 22.79 - 3.36.78</t>
  </si>
  <si>
    <t>18.60 - 1.09 - 7.82 - 37.95 - 3.23 - 21.80 - 3.51.52</t>
  </si>
  <si>
    <t>Βασιλική Γαζή</t>
  </si>
  <si>
    <t>Βασ. Μονογνιού</t>
  </si>
  <si>
    <t>Μαριάννα Τρούλη</t>
  </si>
  <si>
    <t>Ανδρέας Πασπαλιάρης</t>
  </si>
  <si>
    <t>Γρηγόριος Σαββίδης</t>
  </si>
  <si>
    <t>13.35 - 5.18 - 10.38 - 1.50 - 63.48 - 21.21 - 27.01 - 1.90 - 45.76 - 5.57.56</t>
  </si>
  <si>
    <t>Δημήτριος Ομηρίδης</t>
  </si>
  <si>
    <t>Αθήνα, Κηφισιά</t>
  </si>
  <si>
    <t xml:space="preserve">Ευσταθιάδεια </t>
  </si>
  <si>
    <t>10.92</t>
  </si>
  <si>
    <t>Βλαδίμηρος Ντεκάιλο</t>
  </si>
  <si>
    <t>Παντελής Χρυσόχος</t>
  </si>
  <si>
    <t>Gala</t>
  </si>
  <si>
    <t>27.95 - 9.48 - 26.10 - 15.54 - 7.81</t>
  </si>
  <si>
    <t>24.33 - 10.32 - 26.39 - 20.08 - 9.79</t>
  </si>
  <si>
    <t>Σάβα Λίκα</t>
  </si>
  <si>
    <t>Φίλιππα Πουλίδου</t>
  </si>
  <si>
    <t>Σταυρούλα Παπαβασιλείου</t>
  </si>
  <si>
    <t>21.25.56</t>
  </si>
  <si>
    <t>Μάλμοε, Σουηδία</t>
  </si>
  <si>
    <t>Νικολέτα Κυριακοπούλου</t>
  </si>
  <si>
    <t>Ανδρέας Ρίζος</t>
  </si>
  <si>
    <t>Δημητρούλα Καραμανώλη</t>
  </si>
  <si>
    <t>21.95 - 9.77 - 20.10 -19.30 - 9.45</t>
  </si>
  <si>
    <t>11.41.93</t>
  </si>
  <si>
    <t>3:41.50</t>
  </si>
  <si>
    <t>Βερολίνο, Γερμανία</t>
  </si>
  <si>
    <t>Διεθνής Μαραθώνιος</t>
  </si>
  <si>
    <t>Μίνα Ράπτη</t>
  </si>
  <si>
    <t>Παντελής Χρυσοχός</t>
  </si>
  <si>
    <t>Νόβο Μέστο, Σλοβενία</t>
  </si>
  <si>
    <t>24.38</t>
  </si>
  <si>
    <t>Παναγιώτης Γιαμαίος</t>
  </si>
  <si>
    <t xml:space="preserve">Κωνσταντίνος Δουβαλίδης </t>
  </si>
  <si>
    <t>Τάμπερε, Φιλανδία</t>
  </si>
  <si>
    <t>27.44 - 10.37 - 23.19 - 18.35 - 10.04</t>
  </si>
  <si>
    <t>27.44</t>
  </si>
  <si>
    <t>32.57 - 8.51 -27.25 - 18.95 - 10.33</t>
  </si>
  <si>
    <t>29.23.0</t>
  </si>
  <si>
    <t>Γεώργιος Πανσέληνας</t>
  </si>
  <si>
    <t>Μαρία Κολέτσου</t>
  </si>
  <si>
    <t>4.41 - 28.92 - 31.37 - 25.39 - 7.13.74</t>
  </si>
  <si>
    <t>15.77 - 3.90 - 7.19 - nm - 88.28 - 18.39 - 20.72 - 1.70 - 17.90 - 9.00.41</t>
  </si>
  <si>
    <t>24.00 - 7.90 - 20.04 - 13.92 - 7.27</t>
  </si>
  <si>
    <t>15.43 - 1.25 - 7.92 - 29.77 - 4.94 - 22.90 - 3.51.83</t>
  </si>
  <si>
    <t>Αγώνες Πέτρος Ακριβάκης</t>
  </si>
  <si>
    <t>11.66</t>
  </si>
  <si>
    <t>Μιχάλης Φρουδάκης</t>
  </si>
  <si>
    <t>Κλασσικός Μαραθώνιος Αθήνας</t>
  </si>
  <si>
    <t>Αναστασία Φιλιππάκη</t>
  </si>
  <si>
    <t>Δημήτριος Ζησόπουλος</t>
  </si>
  <si>
    <t xml:space="preserve">Βασίλειος Μαραβέλιας </t>
  </si>
  <si>
    <t xml:space="preserve">Εμμανουήλ Ζανής </t>
  </si>
  <si>
    <t>Κωνσταντίνος Κομματάς</t>
  </si>
  <si>
    <t>3:08.25</t>
  </si>
  <si>
    <t>Θεόδωρος Λυμπερόπουλος</t>
  </si>
  <si>
    <t xml:space="preserve">Δήμος Μαγγίνας </t>
  </si>
  <si>
    <t>Ελένη Στεφανιδάκη</t>
  </si>
  <si>
    <t>Παναγιώτης Τριβυζάς</t>
  </si>
  <si>
    <t>Μeeting</t>
  </si>
  <si>
    <t>Μάριος Ευαγγέλου</t>
  </si>
  <si>
    <t>Χριστίνα Τσακίρογλου</t>
  </si>
  <si>
    <t>5.31 (+0.4) - 35.96 - 29.16 (-4.8) - 34.11 - 7.14.44</t>
  </si>
  <si>
    <t>3.90 (+0.2) - 18.10 - 36.00 (-3.8) - 19.91 - 8.49.18</t>
  </si>
  <si>
    <t>Παναγιωτίδου Μαρία</t>
  </si>
  <si>
    <t>Γιάννα Σοούκουποβα</t>
  </si>
  <si>
    <t>23.40</t>
  </si>
  <si>
    <t>(-1.9)</t>
  </si>
  <si>
    <t>Τρέμπιτς, Τσεχία</t>
  </si>
  <si>
    <t>Πεσκάρα, Ιταλία</t>
  </si>
  <si>
    <t>12.86 (-0.2) - 5.64 (+0.8) - 12.77 - 1.61 - 60.58 - 15.49 (-0.3) - 39.84 - 3.60 - 44.60 - 5.35.29</t>
  </si>
  <si>
    <t>14.33 (-1.1) - 4.51 (+0.5) - 10.23 - 1.33 - 71.16 - 19.47 (-0.6) - 32.20 - 2.80 - 26.82 - 7.00.99</t>
  </si>
  <si>
    <t>Ντενίζ Δημάκη</t>
  </si>
  <si>
    <t>Αικατερίνη Ασημακοπούλου</t>
  </si>
  <si>
    <t>1:30.13</t>
  </si>
  <si>
    <t>Αντώνιος Λίλος</t>
  </si>
  <si>
    <t>10ος Νυχτερινός Ημιαραθώνιος</t>
  </si>
  <si>
    <t>Σόνια Τσεκίνη</t>
  </si>
  <si>
    <t>Αθηνά Βαϊνά</t>
  </si>
  <si>
    <t>Hράκλειο</t>
  </si>
  <si>
    <t xml:space="preserve">Εμμανουήλ Σηφάκης </t>
  </si>
  <si>
    <t>2:40.27</t>
  </si>
  <si>
    <t>43.03.98</t>
  </si>
  <si>
    <t>Αθανάσιος Τσολάκης</t>
  </si>
  <si>
    <t>Αθήνα, Κυψέλη</t>
  </si>
  <si>
    <t>18.78</t>
  </si>
  <si>
    <t>1:33.57</t>
  </si>
  <si>
    <t>Νάπολι</t>
  </si>
  <si>
    <t>Διεθνής Ημιμαραθώνιος</t>
  </si>
  <si>
    <t>Αλέξανδρος Παπαμιχαήλ</t>
  </si>
  <si>
    <t>Μαργαρίτα Παναγοπούλου</t>
  </si>
  <si>
    <t>1:50.56</t>
  </si>
  <si>
    <t>Ουρανία Τσούτσια</t>
  </si>
  <si>
    <t>Ολυμπία</t>
  </si>
  <si>
    <t>Ημιμαραθώνιος Ολυμπίας</t>
  </si>
  <si>
    <t>Θήβα</t>
  </si>
  <si>
    <t>Ανδριάννα Φέρρα</t>
  </si>
  <si>
    <t xml:space="preserve">Σουλτάνα Τόκα </t>
  </si>
  <si>
    <t>Γκλόρια Πριβιλέτζιο</t>
  </si>
  <si>
    <t>Φώτης Ζησιμόπουλος</t>
  </si>
  <si>
    <t>Παναγιώτα Πασχαλίδου</t>
  </si>
  <si>
    <t>Ευστράτιος Συμεωνίδης</t>
  </si>
  <si>
    <t>13.92 (-1.3) - 1.21 - 8.23 - 30.78 (-2.2) - 4.13 (+2.4) - 17.78 - 3.10.08</t>
  </si>
  <si>
    <t xml:space="preserve">30.78 </t>
  </si>
  <si>
    <t>5.66 (+1.7) - 39.38 - 26.97 (-0.9) - 39.94 - 5.51.44</t>
  </si>
  <si>
    <t>4.46 (+2.0) - 25.13 - 29.71 (-0.9) - 27.67 - 6.16.16</t>
  </si>
  <si>
    <t>47.98 - 11.90 - 32.50 - 22.25 - 16.08</t>
  </si>
  <si>
    <t>39.49 - 7.65 - 17.73 - 28.87 - 11.50</t>
  </si>
  <si>
    <t>Χειμωνίδεια</t>
  </si>
  <si>
    <t>Δημήτριος Δημητρακόπουλος</t>
  </si>
  <si>
    <t>Αλέξιος Αγαμένων Κονταράτος</t>
  </si>
  <si>
    <t>33.56.47</t>
  </si>
  <si>
    <t>1.51</t>
  </si>
  <si>
    <t>56.79</t>
  </si>
  <si>
    <t>17.68</t>
  </si>
  <si>
    <t>Μπίργκιτ Βαν Ντε Βίτζγκαρτ</t>
  </si>
  <si>
    <t>Μαρία Τουρσουνίδου</t>
  </si>
  <si>
    <t>2.11.30</t>
  </si>
  <si>
    <t>Λόβοσιτσε, Τσεχία</t>
  </si>
  <si>
    <t>Maelo Meeting</t>
  </si>
  <si>
    <t>Γκέτεμποργκ, Σουηδία</t>
  </si>
  <si>
    <t>21.09.05</t>
  </si>
  <si>
    <t xml:space="preserve">13.74 (-0.6) - 4.93 (NWI) - 10.31 - 1.54 - 69.42 - 18.38 (-1.2) - 35.16 - 2.80 - 33.74 - dnf </t>
  </si>
  <si>
    <t>2.53.35</t>
  </si>
  <si>
    <t>57.12</t>
  </si>
  <si>
    <t>(-3.4)</t>
  </si>
  <si>
    <t>12.23.51</t>
  </si>
  <si>
    <t>Mπαρ, Mαυροβούνιο</t>
  </si>
  <si>
    <t>Πλούμη Αργυρή</t>
  </si>
  <si>
    <t>9.30.56</t>
  </si>
  <si>
    <t>26.68</t>
  </si>
  <si>
    <t>Κωνσταντίνος Μαθιουδάκης</t>
  </si>
  <si>
    <t>56.68</t>
  </si>
  <si>
    <t>4:06.32</t>
  </si>
  <si>
    <t>Αριάδνη Τσαχάκη</t>
  </si>
  <si>
    <t>1.49.70</t>
  </si>
  <si>
    <t>Αριάδνη Τσαχάκη (02.11.1959)</t>
  </si>
  <si>
    <t>Πλούμη Αργυρή (3.7.1952)</t>
  </si>
  <si>
    <t>Νοικοκυράκη</t>
  </si>
  <si>
    <t>3:34.12</t>
  </si>
  <si>
    <t>Ημερίδα ΔΙΑΣ Χαλικάκι</t>
  </si>
  <si>
    <t>Μιλι</t>
  </si>
  <si>
    <t>4.55.98</t>
  </si>
  <si>
    <t>Καλύβας Ιωάννης</t>
  </si>
  <si>
    <t>Χολαργός</t>
  </si>
  <si>
    <t>Ημερίδα Τάσος Ξένος</t>
  </si>
  <si>
    <t>5.07.27</t>
  </si>
  <si>
    <t>Νίνης Ανδρέας</t>
  </si>
  <si>
    <t>6.08.68</t>
  </si>
  <si>
    <t>Βουτσαδάκης Γιώργος</t>
  </si>
  <si>
    <t>5.38.72</t>
  </si>
  <si>
    <t>Μαργώνης Κώστας</t>
  </si>
  <si>
    <t>Ηλιούπολη</t>
  </si>
  <si>
    <t>7.20.75</t>
  </si>
  <si>
    <t>7.40.84</t>
  </si>
  <si>
    <t>Μοσχόπουλος Ευγένιος</t>
  </si>
  <si>
    <t>Μπαροτσινι Μασσιμο</t>
  </si>
  <si>
    <t>Ανδρες</t>
  </si>
  <si>
    <t>200μ</t>
  </si>
  <si>
    <t>100μ</t>
  </si>
  <si>
    <t>400μ</t>
  </si>
  <si>
    <t>800μ</t>
  </si>
  <si>
    <t>1500μ</t>
  </si>
  <si>
    <t>3000μ</t>
  </si>
  <si>
    <t>5000μ</t>
  </si>
  <si>
    <t>10000μ</t>
  </si>
  <si>
    <t xml:space="preserve">200μ Εμπόδια </t>
  </si>
  <si>
    <t>3000μ Βάδην</t>
  </si>
  <si>
    <t>5000μ Βάδην</t>
  </si>
  <si>
    <t>Υψος</t>
  </si>
  <si>
    <t>Επι Κοντώ</t>
  </si>
  <si>
    <t>Βαρύ Οργανο</t>
  </si>
  <si>
    <t>Πένταθλο Ρίψεων</t>
  </si>
  <si>
    <t>Πένταθλο</t>
  </si>
  <si>
    <t>Δέκαθλο</t>
  </si>
  <si>
    <t>Αγώνισμα</t>
  </si>
  <si>
    <t>Κατηγορία</t>
  </si>
  <si>
    <t>Α/Γ</t>
  </si>
  <si>
    <t>Πρ</t>
  </si>
  <si>
    <t>Α</t>
  </si>
  <si>
    <t>Β</t>
  </si>
  <si>
    <t>ΡΕΚΟΡ ΠΟΥ ΚΑΤΑΡΙΦΘΗΚΑΝ</t>
  </si>
  <si>
    <t>Ημερ. Κατάριψης</t>
  </si>
  <si>
    <t>Αναλυση Συνθέτων</t>
  </si>
  <si>
    <t>7.27.91</t>
  </si>
  <si>
    <t>11.29.52</t>
  </si>
  <si>
    <t>12.19.19</t>
  </si>
  <si>
    <t>Αποστολοπουλος Μιχάλης</t>
  </si>
  <si>
    <t>Δούσης Παναγιώτης</t>
  </si>
  <si>
    <t>Ζεύξια</t>
  </si>
  <si>
    <t>Καστερίδης Ευστράτιος</t>
  </si>
  <si>
    <t>7.55.71</t>
  </si>
  <si>
    <t>Τζεβελέκου Ευγενία</t>
  </si>
  <si>
    <t>Γυναίκες</t>
  </si>
  <si>
    <t>Πένταθλο Ρίψεων (σφύρα, σφαίρα, δίσκος, ακόντιο, βαρύ)</t>
  </si>
  <si>
    <t>Πένταθλο (80μ.εμπ., ύψος, σφαίρα, μήκος, 800μ.)</t>
  </si>
  <si>
    <t>Έπταθλο (100μ.εμπ./80μ.εμπ, ύψος, σφαίρα, 200μ., μήκος, ακόντιο, 800μ.)</t>
  </si>
  <si>
    <t>2:55.00</t>
  </si>
  <si>
    <t>Μαρκουιζος Χρήστος</t>
  </si>
  <si>
    <t>Αννόβερο Γερμανία</t>
  </si>
  <si>
    <t>Τσελιος Αθανασιος</t>
  </si>
  <si>
    <t>Check-Age</t>
  </si>
  <si>
    <t>Σημειώσεις</t>
  </si>
  <si>
    <t>3:22.36</t>
  </si>
  <si>
    <t>Αδαμος Αναστασιος</t>
  </si>
  <si>
    <t>Ελεγχος ηλικιας / επίδοσης</t>
  </si>
  <si>
    <t>Ελεγχος ηλικιας</t>
  </si>
  <si>
    <t>16.86</t>
  </si>
  <si>
    <t>Μιχαηλίδη Ειρήνη</t>
  </si>
  <si>
    <t>5.46.00</t>
  </si>
  <si>
    <t>Κως</t>
  </si>
  <si>
    <t>56.77</t>
  </si>
  <si>
    <t>Νικόλαος Κόκκος</t>
  </si>
  <si>
    <t>20.13.56</t>
  </si>
  <si>
    <t>1.70</t>
  </si>
  <si>
    <t>2.26.58</t>
  </si>
  <si>
    <t>8.79</t>
  </si>
  <si>
    <t>Ελεγχος Ηλικίας ΔΕΝ ΕΊΝΑΙ Γ60&gt;Γ55</t>
  </si>
  <si>
    <t>Χρυσούλα Μακρη</t>
  </si>
  <si>
    <t>0.68</t>
  </si>
  <si>
    <t>7.26</t>
  </si>
  <si>
    <t>3.00</t>
  </si>
  <si>
    <t>1.00</t>
  </si>
  <si>
    <t>5.45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</si>
  <si>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</si>
  <si>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</si>
  <si>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</si>
  <si>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</si>
  <si>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</si>
  <si>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</si>
  <si>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</si>
  <si>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</si>
  <si>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</si>
  <si>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</si>
  <si>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</si>
  <si>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</si>
  <si>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</si>
  <si>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Διεθνές Gala</t>
  </si>
  <si>
    <t>5.75 - 42.00 - 26.88 - 39.12 - 5.56.88</t>
  </si>
  <si>
    <t>5.18 - 36.88 - 28.12 - 37.30 - 7.15.84</t>
  </si>
  <si>
    <t>3.63 - 18.67 - 36.53 - 16.76 - 9.44.43</t>
  </si>
  <si>
    <t>Αθλητής</t>
  </si>
  <si>
    <t>Ημερ. Γεν.</t>
  </si>
  <si>
    <t>Αθανάσιος Παπάζογλου</t>
  </si>
  <si>
    <t xml:space="preserve">Αικατερίνη Ροκάκη </t>
  </si>
  <si>
    <t xml:space="preserve">Αικατερίνη Σαρρή </t>
  </si>
  <si>
    <t xml:space="preserve">Αλεξάνδρα Σουλιώτου </t>
  </si>
  <si>
    <t>Αναστάσιος Μπέκος</t>
  </si>
  <si>
    <t>Ανδρέας Μπέσσας</t>
  </si>
  <si>
    <t xml:space="preserve">Ανδριάννα Φωτακοπούλου </t>
  </si>
  <si>
    <t xml:space="preserve">Αντωνία Μπελαδάκη </t>
  </si>
  <si>
    <t>Αριστείδης Μάρας</t>
  </si>
  <si>
    <t>Βασίλειος Μακαντάνης</t>
  </si>
  <si>
    <t>Γ. Κουνούπης</t>
  </si>
  <si>
    <t>Γεώργιος Αλέξης</t>
  </si>
  <si>
    <t>Γεώργιος Αλλίμονος</t>
  </si>
  <si>
    <t>Γεώργιος Γκουζώνης</t>
  </si>
  <si>
    <t>Γεώργιος Λεπίδας</t>
  </si>
  <si>
    <t>Δημήτριος Κυρίμης</t>
  </si>
  <si>
    <t xml:space="preserve">Διονύσιος Αργυρόπουλος </t>
  </si>
  <si>
    <t>Διονύσιος Κοντονής</t>
  </si>
  <si>
    <t xml:space="preserve">Διονύσιος Κοντονής </t>
  </si>
  <si>
    <t xml:space="preserve">Ελένη Νοικοκυράκη </t>
  </si>
  <si>
    <t xml:space="preserve">Ελευθερία Σκονδριάνη </t>
  </si>
  <si>
    <t xml:space="preserve">Θωμαή Νάσκου </t>
  </si>
  <si>
    <t>Ιορδάνης Καπασούζ</t>
  </si>
  <si>
    <t>Ιωάννης Βλάχος</t>
  </si>
  <si>
    <t xml:space="preserve">Ιωάννης Κυριάκος </t>
  </si>
  <si>
    <t xml:space="preserve">Ιωάννης Λυρατζάκης </t>
  </si>
  <si>
    <t xml:space="preserve">Κοσμάς Καπασακάλης </t>
  </si>
  <si>
    <t xml:space="preserve">Κρυσταλλία Αθανασοπούλου </t>
  </si>
  <si>
    <t xml:space="preserve">Κυριακή Τραμπίδου </t>
  </si>
  <si>
    <t xml:space="preserve">Κωνσταντίνος Δημητρόπουλος </t>
  </si>
  <si>
    <t xml:space="preserve">Κωνσταντίνος Τσιώλης </t>
  </si>
  <si>
    <t xml:space="preserve">Λ. Διακάτος </t>
  </si>
  <si>
    <t xml:space="preserve">Λώρενς ΜακΓκάουαν </t>
  </si>
  <si>
    <t xml:space="preserve">Μαρία Παναγιωτίδου </t>
  </si>
  <si>
    <t xml:space="preserve">Ματένια Πρασάκη </t>
  </si>
  <si>
    <t xml:space="preserve">Νικόλαος Ανδρομιδάς </t>
  </si>
  <si>
    <t xml:space="preserve">Νικόλαος Χατζηνικολάου </t>
  </si>
  <si>
    <t xml:space="preserve">Παναγιώτης Αφρουδάκης </t>
  </si>
  <si>
    <t xml:space="preserve">Παντελής Τσιγγιζής  </t>
  </si>
  <si>
    <t xml:space="preserve">Περικλής Σιάμος </t>
  </si>
  <si>
    <t xml:space="preserve">Πλούμη Αργυρή </t>
  </si>
  <si>
    <t xml:space="preserve">Σ. Καραγιαννόπουλος </t>
  </si>
  <si>
    <t xml:space="preserve">Σπυρίδων Μπακάλης </t>
  </si>
  <si>
    <t xml:space="preserve">Σπυρίδων Σκορδίλης </t>
  </si>
  <si>
    <t xml:space="preserve">Στέργιος Χατζηστέργος </t>
  </si>
  <si>
    <t xml:space="preserve">Συμεών Χατζηαθανασίου </t>
  </si>
  <si>
    <t xml:space="preserve">Φωτεινή Βενέτη </t>
  </si>
  <si>
    <t xml:space="preserve">Χαράλαμπος Τοτκαλίδης </t>
  </si>
  <si>
    <t xml:space="preserve">Χαράλαμπος Χατζηιωακειμήδης  </t>
  </si>
  <si>
    <t xml:space="preserve">Χρήστος Φιωτάκης </t>
  </si>
  <si>
    <t xml:space="preserve">Χρήστος Ψαρογιώργος </t>
  </si>
  <si>
    <t xml:space="preserve">Χριστίνα Μαραγιάννη </t>
  </si>
  <si>
    <t xml:space="preserve">Χρυσάνθη Ριζοπούλου </t>
  </si>
  <si>
    <t xml:space="preserve">Χρυσούλα Δημητροπούλου </t>
  </si>
  <si>
    <t>Αλέξανδρος Κοκκίνης</t>
  </si>
  <si>
    <t/>
  </si>
  <si>
    <t>Age</t>
  </si>
  <si>
    <t>12.04.98</t>
  </si>
  <si>
    <t>(-1.7)</t>
  </si>
  <si>
    <t>51.07</t>
  </si>
  <si>
    <t>22.76</t>
  </si>
  <si>
    <t>21.29.06</t>
  </si>
  <si>
    <t>Μάλτα</t>
  </si>
  <si>
    <t>22.74</t>
  </si>
  <si>
    <t>(-0.7)</t>
  </si>
  <si>
    <t>Εθνικο Πρωτάθλημα Ρουμανίας</t>
  </si>
  <si>
    <t xml:space="preserve">30.48 </t>
  </si>
  <si>
    <t>(-1.4)</t>
  </si>
  <si>
    <t>52.43</t>
  </si>
  <si>
    <t>Βαραζντιν, Κροατία</t>
  </si>
  <si>
    <t>Μαδειρα, Πορτογαλλία</t>
  </si>
  <si>
    <t>17,12(-1,4)/3,13(-0,7)/7,41/1,08/1,33,79/24,32(+1,3)/19,90/1,70/18,41/9,12,30</t>
  </si>
  <si>
    <t>4x100</t>
  </si>
  <si>
    <t>3:26.08</t>
  </si>
  <si>
    <t>ΔΙΟΡΘΩΣΗ</t>
  </si>
  <si>
    <t>1:42.00</t>
  </si>
  <si>
    <t>3.023 (παλ. βαθμ. 18.04 - 1.14 - 8.02 - 36.90 - 3.20 - 15.15 - 3.51.05</t>
  </si>
  <si>
    <t>Gender</t>
  </si>
  <si>
    <t>Event</t>
  </si>
  <si>
    <t>Age Group</t>
  </si>
  <si>
    <t>IDR</t>
  </si>
  <si>
    <t>Mark</t>
  </si>
  <si>
    <t>Note</t>
  </si>
  <si>
    <t>Wind</t>
  </si>
  <si>
    <t>Athlete Name</t>
  </si>
  <si>
    <t>Race Name</t>
  </si>
  <si>
    <t>Date</t>
  </si>
  <si>
    <t>Town</t>
  </si>
  <si>
    <t>LNAME</t>
  </si>
  <si>
    <t>FNAME</t>
  </si>
  <si>
    <t>NAME</t>
  </si>
  <si>
    <t>Fixed_DATE</t>
  </si>
  <si>
    <t>Old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</si>
</sst>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/mm/yyyy;@" x16r2:formatCode16="[$-en-NL,1]dd/mm/yyyy;@"/>
  </numFmts>
  <fonts count="11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charset val="16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BE2F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FC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13"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/>
    </xf>
    <xf numFmtId="0" fontId="4" fillId="2" borderId="0" xfId="0" applyFont="1" applyFill="1"/>
    <xf numFmtId="0" fontId="6" fillId="0" borderId="0" xfId="0" applyFont="1"/>
    <xf numFmtId="0" fontId="7" fillId="0" borderId="0" xfId="0" applyFont="1"/>
    <xf numFmtId="0" fontId="1" fillId="0" borderId="1" xfId="0" applyFont="1" applyBorder="1" applyAlignment="1">
      <alignment horizontal="center"/>
    </xf>
    <xf numFmtId="0" fontId="8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7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8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0" fontId="4" fillId="4" borderId="0" xfId="0" applyFont="1" applyFill="1"/>
    <xf numFmtId="14" fontId="0" fillId="4" borderId="0" xfId="0" applyNumberFormat="1" applyFill="1" applyAlignment="1">
      <alignment horizontal="center" vertical="center"/>
    </xf>
    <xf numFmtId="0" fontId="0" fillId="5" borderId="0" xfId="0" applyFill="1"/>
    <xf numFmtId="0" fontId="4" fillId="0" borderId="0" xfId="0" applyFont="1" applyAlignment="1">
      <alignment horizontal="center"/>
    </xf>
    <xf numFmtId="0" fontId="2" fillId="0" borderId="1" xfId="0" applyFont="1" applyBorder="1"/>
    <xf numFmtId="0" fontId="6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6" borderId="0" xfId="0" applyFill="1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8" fillId="7" borderId="0" xfId="0" applyFont="1" applyFill="1"/>
    <xf numFmtId="0" fontId="0" fillId="7" borderId="0" xfId="0" applyFill="1"/>
    <xf numFmtId="0" fontId="4" fillId="7" borderId="0" xfId="0" applyFont="1" applyFill="1"/>
    <xf numFmtId="14" fontId="4" fillId="7" borderId="0" xfId="0" applyNumberFormat="1" applyFont="1" applyFill="1" applyAlignment="1">
      <alignment horizontal="center"/>
    </xf>
    <xf numFmtId="14" fontId="0" fillId="7" borderId="0" xfId="0" applyNumberFormat="1" applyFill="1" applyAlignment="1">
      <alignment horizontal="center"/>
    </xf>
    <xf numFmtId="14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8" fillId="6" borderId="0" xfId="0" applyFont="1" applyFill="1"/>
    <xf numFmtId="0" fontId="4" fillId="6" borderId="0" xfId="0" applyFont="1" applyFill="1"/>
    <xf numFmtId="14" fontId="4" fillId="6" borderId="0" xfId="0" applyNumberFormat="1" applyFont="1" applyFill="1" applyAlignment="1">
      <alignment horizontal="center"/>
    </xf>
    <xf numFmtId="0" fontId="8" fillId="8" borderId="0" xfId="0" applyFont="1" applyFill="1"/>
    <xf numFmtId="0" fontId="0" fillId="8" borderId="0" xfId="0" applyFill="1"/>
    <xf numFmtId="14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2" fillId="8" borderId="2" xfId="0" applyFont="1" applyFill="1" applyBorder="1"/>
    <xf numFmtId="0" fontId="6" fillId="8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8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8" borderId="0" xfId="0" applyFill="1" applyAlignment="1">
      <alignment horizontal="right"/>
    </xf>
    <xf numFmtId="14" fontId="4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right"/>
    </xf>
    <xf numFmtId="0" fontId="9" fillId="0" borderId="0" xfId="0" applyFont="1"/>
    <xf numFmtId="14" fontId="9" fillId="0" borderId="0" xfId="0" applyNumberFormat="1" applyFont="1" applyAlignment="1">
      <alignment horizontal="center"/>
    </xf>
    <xf numFmtId="0" fontId="8" fillId="3" borderId="0" xfId="0" applyFont="1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3" fontId="0" fillId="3" borderId="0" xfId="0" applyNumberFormat="1" applyFill="1" applyAlignment="1">
      <alignment horizontal="right"/>
    </xf>
    <xf numFmtId="0" fontId="0" fillId="3" borderId="0" xfId="0" applyFill="1"/>
    <xf numFmtId="14" fontId="0" fillId="3" borderId="0" xfId="0" applyNumberForma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center" wrapText="1"/>
    </xf>
    <xf numFmtId="14" fontId="0" fillId="0" borderId="0" xfId="0" applyNumberFormat="1"/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3" xfId="0" applyBorder="1"/>
    <xf numFmtId="0" fontId="8" fillId="0" borderId="4" xfId="0" applyFont="1" applyBorder="1"/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right"/>
    </xf>
    <xf numFmtId="0" fontId="4" fillId="0" borderId="3" xfId="0" applyFont="1" applyBorder="1"/>
    <xf numFmtId="0" fontId="4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8" fillId="0" borderId="6" xfId="0" applyFont="1" applyBorder="1"/>
    <xf numFmtId="2" fontId="0" fillId="0" borderId="7" xfId="0" applyNumberFormat="1" applyBorder="1" applyAlignment="1">
      <alignment horizontal="center"/>
    </xf>
    <xf numFmtId="0" fontId="8" fillId="0" borderId="8" xfId="0" applyFont="1" applyBorder="1"/>
    <xf numFmtId="0" fontId="0" fillId="0" borderId="2" xfId="0" applyBorder="1"/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8" fillId="2" borderId="0" xfId="0" applyFont="1" applyFill="1"/>
    <xf numFmtId="0" fontId="0" fillId="2" borderId="0" xfId="0" applyFill="1" applyAlignment="1">
      <alignment horizontal="center" vertical="center"/>
    </xf>
    <xf numFmtId="0" fontId="0" fillId="2" borderId="0" xfId="0" applyFill="1"/>
    <xf numFmtId="2" fontId="0" fillId="2" borderId="0" xfId="0" applyNumberForma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/>
    </xf>
    <xf numFmtId="0" fontId="1" fillId="0" borderId="2" xfId="0" applyFont="1" applyBorder="1"/>
    <xf numFmtId="3" fontId="0" fillId="0" borderId="0" xfId="0" applyNumberFormat="1"/>
    <xf numFmtId="3" fontId="4" fillId="0" borderId="0" xfId="0" applyNumberFormat="1" applyFont="1"/>
    <xf numFmtId="0" fontId="3" fillId="0" borderId="0" xfId="0" applyFont="1" applyAlignment="1">
      <alignment horizontal="center"/>
    </xf>
    <xf numFmtId="164" fontId="1" fillId="8" borderId="2" xfId="0" applyNumberFormat="1" applyFont="1" applyFill="1" applyBorder="1" applyAlignment="1">
      <alignment horizontal="center"/>
    </xf>
    <xf numFmtId="164" fontId="0" fillId="0" borderId="0" xfId="0" applyNumberFormat="1"/>
  </cellXfs>
  <cellStyles count="2">
    <cellStyle name="Normal" xfId="0" builtinId="0"/>
    <cellStyle name="Normal 2" xfId="1" xr:uid="{700DBC44-5E39-914C-839D-5E300D22E728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numFmt numFmtId="164" formatCode="[$]dd/mm/yyyy;@" x16r2:formatCode16="[$-en-NL,1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BE2FB"/>
      <color rgb="FFFFC7FC"/>
      <color rgb="FFFFC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016BC8-4CED-E14C-B237-A9DC5DFE420B}" name="Table1" displayName="Table1" ref="A1:P46" totalsRowShown="0" headerRowDxfId="19" dataDxfId="17" headerRowBorderDxfId="18" tableBorderDxfId="16">
  <autoFilter ref="A1:P46" xr:uid="{00000000-0001-0000-0000-000000000000}"/>
  <sortState xmlns:xlrd2="http://schemas.microsoft.com/office/spreadsheetml/2017/richdata2" ref="A2:O46">
    <sortCondition ref="B2:B46"/>
  </sortState>
  <tableColumns count="16">
    <tableColumn id="1" xr3:uid="{62053594-04F1-474E-9285-020BF19B3DAC}" name="Gender" dataDxfId="15"/>
    <tableColumn id="2" xr3:uid="{268B0F06-E9CB-0C40-8EE9-E41645F82B75}" name="Event" dataDxfId="14"/>
    <tableColumn id="3" xr3:uid="{36DD3FAD-27BA-8F48-BFF0-B9273F82B522}" name="Age Group" dataDxfId="13"/>
    <tableColumn id="5" xr3:uid="{1A88165A-D715-6C4A-9952-5918C5D8B4C1}" name="IDR" dataDxfId="12"/>
    <tableColumn id="6" xr3:uid="{2B42BF04-1EF7-284F-B88F-E80D84255E37}" name="Mark" dataDxfId="11"/>
    <tableColumn id="7" xr3:uid="{476188F3-3A56-3E4D-8997-CCEEA49C4462}" name="Note" dataDxfId="10"/>
    <tableColumn id="8" xr3:uid="{E9C48A64-3636-BE44-BD02-0B09D5F4D198}" name="Wind" dataDxfId="9"/>
    <tableColumn id="9" xr3:uid="{02DBC738-921A-784E-B452-B6089FC777F7}" name="Athlete Name" dataDxfId="8"/>
    <tableColumn id="13" xr3:uid="{9CD6DF2C-03D4-994A-9711-C92D3ED8ECBD}" name="Race Name" dataDxfId="5"/>
    <tableColumn id="11" xr3:uid="{3B81631A-E243-3F4F-AE9A-6EB05639F02F}" name="Date" dataDxfId="7"/>
    <tableColumn id="12" xr3:uid="{005C67B2-367F-0048-AC67-9428116B3DEC}" name="Town" dataDxfId="6"/>
    <tableColumn id="17" xr3:uid="{EDA10A62-FDED-594B-A2E3-0442BB5B6250}" name="Old Date" dataDxfId="1"/>
    <tableColumn id="16" xr3:uid="{745B2323-237E-D540-8FB4-020B82D7A56E}" name="Fixed_DATE" dataDxfId="0">
      <calculatedColumnFormula>IF(LEN(L2)&lt;&gt;4,L2,DATE(L2,1,1))</calculatedColumnFormula>
    </tableColumn>
    <tableColumn id="15" xr3:uid="{78D7EE1C-CD9D-3A4F-B3FB-AC9392A8AD2E}" name="NAME" dataDxfId="4"/>
    <tableColumn id="14" xr3:uid="{8580E52C-EC14-684E-BF65-A21AABF42923}" name="FNAME" dataDxfId="2">
      <calculatedColumnFormula>LEFT(N2,FIND(" ",N2))</calculatedColumnFormula>
    </tableColumn>
    <tableColumn id="10" xr3:uid="{D18E8372-7B49-CC45-B71C-A6DAA8180B56}" name="LNAME" dataDxfId="3">
      <calculatedColumnFormula>MID(N2,FIND(" ",N2)+1,LEN(N2))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6"/>
  <sheetViews>
    <sheetView tabSelected="1" zoomScale="130" zoomScaleNormal="130" workbookViewId="0">
      <pane ySplit="1" topLeftCell="A2" activePane="bottomLeft" state="frozen"/>
      <selection activeCell="E1" sqref="E1"/>
      <selection pane="bottomLeft" activeCell="J1" sqref="J1"/>
    </sheetView>
  </sheetViews>
  <sheetFormatPr baseColWidth="10" defaultColWidth="0" defaultRowHeight="18" customHeight="1" x14ac:dyDescent="0.2"/>
  <cols>
    <col min="1" max="1" width="9.1640625" customWidth="1"/>
    <col min="2" max="2" width="59" bestFit="1" customWidth="1"/>
    <col min="3" max="3" width="5.5" style="12" customWidth="1"/>
    <col min="4" max="4" width="3" style="11" customWidth="1"/>
    <col min="5" max="5" width="21.33203125" style="51" customWidth="1"/>
    <col min="6" max="6" width="70.33203125" bestFit="1" customWidth="1"/>
    <col min="7" max="7" width="26.5" style="11" customWidth="1"/>
    <col min="8" max="8" width="36.1640625" bestFit="1" customWidth="1"/>
    <col min="9" max="9" width="25.1640625" customWidth="1"/>
    <col min="10" max="10" width="12.5" style="11" customWidth="1"/>
    <col min="11" max="12" width="20.6640625" customWidth="1"/>
    <col min="13" max="13" width="20.6640625" style="112" customWidth="1"/>
    <col min="14" max="14" width="24.33203125" bestFit="1" customWidth="1"/>
    <col min="15" max="16" width="10.83203125" customWidth="1"/>
    <col min="21" max="16384" width="9.1640625" hidden="1"/>
  </cols>
  <sheetData>
    <row r="1" spans="1:16" ht="18" customHeight="1" x14ac:dyDescent="0.2">
      <c r="A1" s="44" t="s">
        <v>591</v>
      </c>
      <c r="B1" s="44" t="s">
        <v>592</v>
      </c>
      <c r="C1" s="45" t="s">
        <v>593</v>
      </c>
      <c r="D1" s="48" t="s">
        <v>594</v>
      </c>
      <c r="E1" s="50" t="s">
        <v>595</v>
      </c>
      <c r="F1" s="107" t="s">
        <v>596</v>
      </c>
      <c r="G1" s="47" t="s">
        <v>597</v>
      </c>
      <c r="H1" s="46" t="s">
        <v>598</v>
      </c>
      <c r="I1" s="46" t="s">
        <v>599</v>
      </c>
      <c r="J1" s="47" t="s">
        <v>600</v>
      </c>
      <c r="K1" s="46" t="s">
        <v>601</v>
      </c>
      <c r="L1" s="46" t="s">
        <v>606</v>
      </c>
      <c r="M1" s="111" t="s">
        <v>605</v>
      </c>
      <c r="N1" s="46" t="s">
        <v>604</v>
      </c>
      <c r="O1" s="46" t="s">
        <v>603</v>
      </c>
      <c r="P1" s="46" t="s">
        <v>602</v>
      </c>
    </row>
    <row r="2" spans="1:16" ht="18" customHeight="1" x14ac:dyDescent="0.2">
      <c r="A2" s="9" t="s">
        <v>428</v>
      </c>
      <c r="B2" s="9" t="s">
        <v>445</v>
      </c>
      <c r="C2" s="12" t="s">
        <v>495</v>
      </c>
      <c r="D2" s="11" t="s">
        <v>450</v>
      </c>
      <c r="E2" s="54">
        <v>6856</v>
      </c>
      <c r="F2" s="108" t="s">
        <v>201</v>
      </c>
      <c r="H2" t="str">
        <f>CONCATENATE(P2,", ",O2)</f>
        <v xml:space="preserve">Ανδρέογλου, Ευθύμιος </v>
      </c>
      <c r="I2" t="s">
        <v>87</v>
      </c>
      <c r="J2" s="10">
        <f>Table1[[#This Row],[Fixed_DATE]]</f>
        <v>39607</v>
      </c>
      <c r="K2" t="s">
        <v>60</v>
      </c>
      <c r="L2" s="10">
        <v>39607</v>
      </c>
      <c r="M2" s="112">
        <f t="shared" ref="M2:M46" si="0">IF(LEN(L2)&lt;&gt;4,L2,DATE(L2,1,1))</f>
        <v>39607</v>
      </c>
      <c r="N2" t="s">
        <v>136</v>
      </c>
      <c r="O2" s="78" t="str">
        <f t="shared" ref="O2:O33" si="1">LEFT(N2,FIND(" ",N2))</f>
        <v xml:space="preserve">Ευθύμιος </v>
      </c>
      <c r="P2" s="78" t="str">
        <f t="shared" ref="P2:P33" si="2">MID(N2,FIND(" ",N2)+1,LEN(N2))</f>
        <v>Ανδρέογλου</v>
      </c>
    </row>
    <row r="3" spans="1:16" ht="18" customHeight="1" x14ac:dyDescent="0.2">
      <c r="A3" s="9" t="s">
        <v>428</v>
      </c>
      <c r="B3" s="9" t="s">
        <v>445</v>
      </c>
      <c r="C3" s="12" t="s">
        <v>496</v>
      </c>
      <c r="D3" s="11" t="s">
        <v>450</v>
      </c>
      <c r="E3" s="54">
        <v>6421</v>
      </c>
      <c r="F3" s="108" t="s">
        <v>202</v>
      </c>
      <c r="H3" t="str">
        <f t="shared" ref="H3:H46" si="3">CONCATENATE(P3,", ",O3)</f>
        <v xml:space="preserve">Αρβανίτης, Νικόλαος </v>
      </c>
      <c r="I3" t="s">
        <v>48</v>
      </c>
      <c r="J3" s="10">
        <f>Table1[[#This Row],[Fixed_DATE]]</f>
        <v>39448</v>
      </c>
      <c r="K3" t="s">
        <v>108</v>
      </c>
      <c r="L3" s="11">
        <v>2008</v>
      </c>
      <c r="M3" s="112">
        <f t="shared" si="0"/>
        <v>39448</v>
      </c>
      <c r="N3" t="s">
        <v>196</v>
      </c>
      <c r="O3" s="78" t="str">
        <f t="shared" si="1"/>
        <v xml:space="preserve">Νικόλαος </v>
      </c>
      <c r="P3" s="78" t="str">
        <f t="shared" si="2"/>
        <v>Αρβανίτης</v>
      </c>
    </row>
    <row r="4" spans="1:16" ht="18" customHeight="1" x14ac:dyDescent="0.2">
      <c r="A4" s="9" t="s">
        <v>428</v>
      </c>
      <c r="B4" s="9" t="s">
        <v>445</v>
      </c>
      <c r="C4" s="12" t="s">
        <v>497</v>
      </c>
      <c r="D4" s="11" t="s">
        <v>450</v>
      </c>
      <c r="E4" s="54">
        <v>4834</v>
      </c>
      <c r="F4" t="s">
        <v>276</v>
      </c>
      <c r="H4" t="str">
        <f t="shared" si="3"/>
        <v xml:space="preserve">Χαμουρούδης, Κωνσταντίνος </v>
      </c>
      <c r="I4" t="s">
        <v>48</v>
      </c>
      <c r="J4" s="10">
        <f>Table1[[#This Row],[Fixed_DATE]]</f>
        <v>38718</v>
      </c>
      <c r="K4" t="s">
        <v>68</v>
      </c>
      <c r="L4" s="11">
        <v>2006</v>
      </c>
      <c r="M4" s="112">
        <f t="shared" si="0"/>
        <v>38718</v>
      </c>
      <c r="N4" t="s">
        <v>203</v>
      </c>
      <c r="O4" s="78" t="str">
        <f t="shared" si="1"/>
        <v xml:space="preserve">Κωνσταντίνος </v>
      </c>
      <c r="P4" s="78" t="str">
        <f t="shared" si="2"/>
        <v>Χαμουρούδης</v>
      </c>
    </row>
    <row r="5" spans="1:16" ht="18" customHeight="1" x14ac:dyDescent="0.2">
      <c r="A5" s="9" t="s">
        <v>428</v>
      </c>
      <c r="B5" s="9" t="s">
        <v>445</v>
      </c>
      <c r="C5" s="12" t="s">
        <v>498</v>
      </c>
      <c r="D5" s="11" t="s">
        <v>450</v>
      </c>
      <c r="E5" s="54">
        <v>7105</v>
      </c>
      <c r="F5" s="108" t="s">
        <v>341</v>
      </c>
      <c r="H5" t="str">
        <f t="shared" si="3"/>
        <v xml:space="preserve">Ανδρέογλου, Ευθύμιος </v>
      </c>
      <c r="I5" t="s">
        <v>48</v>
      </c>
      <c r="J5" s="10">
        <f>Table1[[#This Row],[Fixed_DATE]]</f>
        <v>45191</v>
      </c>
      <c r="K5" t="s">
        <v>340</v>
      </c>
      <c r="L5" s="10">
        <v>45191</v>
      </c>
      <c r="M5" s="112">
        <f t="shared" si="0"/>
        <v>45191</v>
      </c>
      <c r="N5" t="s">
        <v>136</v>
      </c>
      <c r="O5" s="78" t="str">
        <f t="shared" si="1"/>
        <v xml:space="preserve">Ευθύμιος </v>
      </c>
      <c r="P5" s="78" t="str">
        <f t="shared" si="2"/>
        <v>Ανδρέογλου</v>
      </c>
    </row>
    <row r="6" spans="1:16" ht="18" customHeight="1" x14ac:dyDescent="0.2">
      <c r="A6" s="9" t="s">
        <v>428</v>
      </c>
      <c r="B6" s="9" t="s">
        <v>445</v>
      </c>
      <c r="C6" s="12" t="s">
        <v>499</v>
      </c>
      <c r="D6" s="11" t="s">
        <v>450</v>
      </c>
      <c r="E6" s="54">
        <v>5397</v>
      </c>
      <c r="F6" s="108" t="s">
        <v>393</v>
      </c>
      <c r="H6" t="str">
        <f t="shared" si="3"/>
        <v xml:space="preserve">Αρβανίτης, Νικόλαος </v>
      </c>
      <c r="I6" s="1" t="s">
        <v>53</v>
      </c>
      <c r="J6" s="10">
        <f>Table1[[#This Row],[Fixed_DATE]]</f>
        <v>45519</v>
      </c>
      <c r="K6" s="1" t="s">
        <v>391</v>
      </c>
      <c r="L6" s="10">
        <v>45519</v>
      </c>
      <c r="M6" s="112">
        <f t="shared" si="0"/>
        <v>45519</v>
      </c>
      <c r="N6" t="s">
        <v>196</v>
      </c>
      <c r="O6" s="78" t="str">
        <f t="shared" si="1"/>
        <v xml:space="preserve">Νικόλαος </v>
      </c>
      <c r="P6" s="78" t="str">
        <f t="shared" si="2"/>
        <v>Αρβανίτης</v>
      </c>
    </row>
    <row r="7" spans="1:16" ht="18" customHeight="1" x14ac:dyDescent="0.2">
      <c r="A7" s="9" t="s">
        <v>428</v>
      </c>
      <c r="B7" s="9" t="s">
        <v>445</v>
      </c>
      <c r="C7" s="12" t="s">
        <v>500</v>
      </c>
      <c r="D7" s="11" t="s">
        <v>450</v>
      </c>
      <c r="E7" s="54">
        <v>5396</v>
      </c>
      <c r="F7" t="s">
        <v>204</v>
      </c>
      <c r="H7" t="str">
        <f t="shared" si="3"/>
        <v xml:space="preserve">Χαϊτίδης, Δημήτριος </v>
      </c>
      <c r="J7" s="10">
        <f>Table1[[#This Row],[Fixed_DATE]]</f>
        <v>43466</v>
      </c>
      <c r="K7" t="s">
        <v>19</v>
      </c>
      <c r="L7" s="11">
        <v>2019</v>
      </c>
      <c r="M7" s="112">
        <f t="shared" si="0"/>
        <v>43466</v>
      </c>
      <c r="N7" t="s">
        <v>199</v>
      </c>
      <c r="O7" s="78" t="str">
        <f t="shared" si="1"/>
        <v xml:space="preserve">Δημήτριος </v>
      </c>
      <c r="P7" s="78" t="str">
        <f t="shared" si="2"/>
        <v>Χαϊτίδης</v>
      </c>
    </row>
    <row r="8" spans="1:16" ht="18" customHeight="1" x14ac:dyDescent="0.2">
      <c r="A8" s="9" t="s">
        <v>428</v>
      </c>
      <c r="B8" s="9" t="s">
        <v>445</v>
      </c>
      <c r="C8" s="12" t="s">
        <v>501</v>
      </c>
      <c r="D8" s="11" t="s">
        <v>450</v>
      </c>
      <c r="E8" s="54">
        <v>5942</v>
      </c>
      <c r="F8" t="s">
        <v>342</v>
      </c>
      <c r="H8" t="str">
        <f t="shared" si="3"/>
        <v xml:space="preserve">Μπασδέκης, Παύλος </v>
      </c>
      <c r="I8" t="s">
        <v>48</v>
      </c>
      <c r="J8" s="10">
        <f>Table1[[#This Row],[Fixed_DATE]]</f>
        <v>45192</v>
      </c>
      <c r="K8" t="s">
        <v>340</v>
      </c>
      <c r="L8" s="10">
        <v>45192</v>
      </c>
      <c r="M8" s="112">
        <f t="shared" si="0"/>
        <v>45192</v>
      </c>
      <c r="N8" t="s">
        <v>155</v>
      </c>
      <c r="O8" s="78" t="str">
        <f t="shared" si="1"/>
        <v xml:space="preserve">Παύλος </v>
      </c>
      <c r="P8" s="78" t="str">
        <f t="shared" si="2"/>
        <v>Μπασδέκης</v>
      </c>
    </row>
    <row r="9" spans="1:16" ht="18" customHeight="1" x14ac:dyDescent="0.2">
      <c r="A9" s="9" t="s">
        <v>428</v>
      </c>
      <c r="B9" s="9" t="s">
        <v>445</v>
      </c>
      <c r="C9" s="12" t="s">
        <v>503</v>
      </c>
      <c r="D9" s="11" t="s">
        <v>450</v>
      </c>
      <c r="E9" s="54">
        <v>3859</v>
      </c>
      <c r="F9" s="108" t="s">
        <v>313</v>
      </c>
      <c r="H9" t="str">
        <f t="shared" si="3"/>
        <v xml:space="preserve">Ομηρίδης, Δημήτριος </v>
      </c>
      <c r="I9" t="s">
        <v>15</v>
      </c>
      <c r="J9" s="10">
        <f>Table1[[#This Row],[Fixed_DATE]]</f>
        <v>44801</v>
      </c>
      <c r="K9" t="s">
        <v>19</v>
      </c>
      <c r="L9" s="10">
        <v>44801</v>
      </c>
      <c r="M9" s="112">
        <f t="shared" si="0"/>
        <v>44801</v>
      </c>
      <c r="N9" t="s">
        <v>277</v>
      </c>
      <c r="O9" s="78" t="str">
        <f t="shared" si="1"/>
        <v xml:space="preserve">Δημήτριος </v>
      </c>
      <c r="P9" s="78" t="str">
        <f t="shared" si="2"/>
        <v>Ομηρίδης</v>
      </c>
    </row>
    <row r="10" spans="1:16" ht="18" customHeight="1" x14ac:dyDescent="0.2">
      <c r="A10" s="9" t="s">
        <v>428</v>
      </c>
      <c r="B10" s="9" t="s">
        <v>445</v>
      </c>
      <c r="C10" s="23">
        <v>80</v>
      </c>
      <c r="D10" s="11" t="s">
        <v>450</v>
      </c>
      <c r="E10" s="59">
        <v>4050</v>
      </c>
      <c r="F10" s="109" t="s">
        <v>585</v>
      </c>
      <c r="G10" s="56"/>
      <c r="H10" t="str">
        <f t="shared" si="3"/>
        <v xml:space="preserve">Ομηρίδης, Δημήτριος </v>
      </c>
      <c r="I10" s="1" t="s">
        <v>48</v>
      </c>
      <c r="J10" s="10">
        <f>Table1[[#This Row],[Fixed_DATE]]</f>
        <v>45942</v>
      </c>
      <c r="K10" s="1" t="s">
        <v>584</v>
      </c>
      <c r="L10" s="15">
        <v>45942</v>
      </c>
      <c r="M10" s="112">
        <f t="shared" si="0"/>
        <v>45942</v>
      </c>
      <c r="N10" t="s">
        <v>277</v>
      </c>
      <c r="O10" s="78" t="str">
        <f t="shared" si="1"/>
        <v xml:space="preserve">Δημήτριος </v>
      </c>
      <c r="P10" s="78" t="str">
        <f t="shared" si="2"/>
        <v>Ομηρίδης</v>
      </c>
    </row>
    <row r="11" spans="1:16" ht="18" customHeight="1" x14ac:dyDescent="0.2">
      <c r="A11" s="9" t="s">
        <v>464</v>
      </c>
      <c r="B11" t="s">
        <v>467</v>
      </c>
      <c r="C11" s="23" t="s">
        <v>495</v>
      </c>
      <c r="D11" s="11" t="s">
        <v>450</v>
      </c>
      <c r="E11" s="59">
        <v>6215</v>
      </c>
      <c r="F11" s="109" t="s">
        <v>268</v>
      </c>
      <c r="G11" s="56"/>
      <c r="H11" t="str">
        <f t="shared" si="3"/>
        <v xml:space="preserve">Στρατάκη, Αργυρώ </v>
      </c>
      <c r="I11" s="4" t="s">
        <v>87</v>
      </c>
      <c r="J11" s="10">
        <f>Table1[[#This Row],[Fixed_DATE]]</f>
        <v>40328</v>
      </c>
      <c r="K11" s="1" t="s">
        <v>235</v>
      </c>
      <c r="L11" s="15">
        <v>40328</v>
      </c>
      <c r="M11" s="112">
        <f t="shared" si="0"/>
        <v>40328</v>
      </c>
      <c r="N11" s="1" t="s">
        <v>234</v>
      </c>
      <c r="O11" s="78" t="str">
        <f t="shared" si="1"/>
        <v xml:space="preserve">Αργυρώ </v>
      </c>
      <c r="P11" s="78" t="str">
        <f t="shared" si="2"/>
        <v>Στρατάκη</v>
      </c>
    </row>
    <row r="12" spans="1:16" ht="18" customHeight="1" x14ac:dyDescent="0.2">
      <c r="A12" s="9" t="s">
        <v>464</v>
      </c>
      <c r="B12" t="s">
        <v>467</v>
      </c>
      <c r="C12" s="23" t="s">
        <v>496</v>
      </c>
      <c r="D12" s="11" t="s">
        <v>450</v>
      </c>
      <c r="E12" s="59">
        <v>3334</v>
      </c>
      <c r="F12" s="109" t="s">
        <v>269</v>
      </c>
      <c r="G12" s="56"/>
      <c r="H12" t="str">
        <f t="shared" si="3"/>
        <v xml:space="preserve">Λύκου, Φανή </v>
      </c>
      <c r="I12" s="1"/>
      <c r="J12" s="10">
        <f>Table1[[#This Row],[Fixed_DATE]]</f>
        <v>42736</v>
      </c>
      <c r="K12" s="1" t="s">
        <v>19</v>
      </c>
      <c r="L12" s="23">
        <v>2017</v>
      </c>
      <c r="M12" s="112">
        <f t="shared" si="0"/>
        <v>42736</v>
      </c>
      <c r="N12" s="1" t="s">
        <v>236</v>
      </c>
      <c r="O12" s="78" t="str">
        <f t="shared" si="1"/>
        <v xml:space="preserve">Φανή </v>
      </c>
      <c r="P12" s="78" t="str">
        <f t="shared" si="2"/>
        <v>Λύκου</v>
      </c>
    </row>
    <row r="13" spans="1:16" ht="18" customHeight="1" x14ac:dyDescent="0.2">
      <c r="A13" s="9" t="s">
        <v>464</v>
      </c>
      <c r="B13" t="s">
        <v>467</v>
      </c>
      <c r="C13" s="23" t="s">
        <v>497</v>
      </c>
      <c r="D13" s="11" t="s">
        <v>450</v>
      </c>
      <c r="E13" s="59">
        <v>3570</v>
      </c>
      <c r="F13" s="109" t="s">
        <v>315</v>
      </c>
      <c r="G13" s="56"/>
      <c r="H13" t="str">
        <f t="shared" si="3"/>
        <v xml:space="preserve">Λύκου, Φανή </v>
      </c>
      <c r="I13" s="1" t="s">
        <v>15</v>
      </c>
      <c r="J13" s="10">
        <f>Table1[[#This Row],[Fixed_DATE]]</f>
        <v>44801</v>
      </c>
      <c r="K13" s="1" t="s">
        <v>19</v>
      </c>
      <c r="L13" s="15">
        <v>44801</v>
      </c>
      <c r="M13" s="112">
        <f t="shared" si="0"/>
        <v>44801</v>
      </c>
      <c r="N13" s="1" t="s">
        <v>236</v>
      </c>
      <c r="O13" s="78" t="str">
        <f t="shared" si="1"/>
        <v xml:space="preserve">Φανή </v>
      </c>
      <c r="P13" s="78" t="str">
        <f t="shared" si="2"/>
        <v>Λύκου</v>
      </c>
    </row>
    <row r="14" spans="1:16" ht="18" customHeight="1" x14ac:dyDescent="0.2">
      <c r="A14" s="9" t="s">
        <v>464</v>
      </c>
      <c r="B14" s="9" t="s">
        <v>467</v>
      </c>
      <c r="C14" s="61" t="s">
        <v>498</v>
      </c>
      <c r="D14" s="62" t="s">
        <v>450</v>
      </c>
      <c r="E14" s="63">
        <v>2307</v>
      </c>
      <c r="F14" s="64" t="s">
        <v>590</v>
      </c>
      <c r="G14" s="73"/>
      <c r="H14" t="str">
        <f t="shared" si="3"/>
        <v xml:space="preserve">Δημητροπούλου, Χρυσούλα </v>
      </c>
      <c r="I14" s="64"/>
      <c r="J14" s="10">
        <f>Table1[[#This Row],[Fixed_DATE]]</f>
        <v>42974</v>
      </c>
      <c r="K14" s="64" t="s">
        <v>19</v>
      </c>
      <c r="L14" s="65">
        <v>42974</v>
      </c>
      <c r="M14" s="112">
        <f t="shared" si="0"/>
        <v>42974</v>
      </c>
      <c r="N14" s="64" t="s">
        <v>237</v>
      </c>
      <c r="O14" s="78" t="str">
        <f t="shared" si="1"/>
        <v xml:space="preserve">Χρυσούλα </v>
      </c>
      <c r="P14" s="78" t="str">
        <f t="shared" si="2"/>
        <v>Δημητροπούλου</v>
      </c>
    </row>
    <row r="15" spans="1:16" ht="18" customHeight="1" x14ac:dyDescent="0.2">
      <c r="A15" s="9" t="s">
        <v>464</v>
      </c>
      <c r="B15" t="s">
        <v>467</v>
      </c>
      <c r="C15" s="23" t="s">
        <v>499</v>
      </c>
      <c r="D15" s="11" t="s">
        <v>450</v>
      </c>
      <c r="E15" s="59">
        <v>4463</v>
      </c>
      <c r="F15" s="1" t="s">
        <v>373</v>
      </c>
      <c r="G15" s="56"/>
      <c r="H15" t="str">
        <f t="shared" si="3"/>
        <v xml:space="preserve">Μουρατίδου, Μαρία </v>
      </c>
      <c r="I15" s="1" t="s">
        <v>283</v>
      </c>
      <c r="J15" s="10">
        <f>Table1[[#This Row],[Fixed_DATE]]</f>
        <v>45445</v>
      </c>
      <c r="K15" s="1" t="s">
        <v>19</v>
      </c>
      <c r="L15" s="15">
        <v>45445</v>
      </c>
      <c r="M15" s="112">
        <f t="shared" si="0"/>
        <v>45445</v>
      </c>
      <c r="N15" s="1" t="s">
        <v>208</v>
      </c>
      <c r="O15" s="78" t="str">
        <f t="shared" si="1"/>
        <v xml:space="preserve">Μαρία </v>
      </c>
      <c r="P15" s="78" t="str">
        <f t="shared" si="2"/>
        <v>Μουρατίδου</v>
      </c>
    </row>
    <row r="16" spans="1:16" ht="18" customHeight="1" x14ac:dyDescent="0.2">
      <c r="A16" s="9" t="s">
        <v>464</v>
      </c>
      <c r="B16" t="s">
        <v>467</v>
      </c>
      <c r="C16" s="23" t="s">
        <v>500</v>
      </c>
      <c r="D16" s="11" t="s">
        <v>450</v>
      </c>
      <c r="E16" s="59">
        <v>3236</v>
      </c>
      <c r="F16" s="109" t="s">
        <v>270</v>
      </c>
      <c r="G16" s="56"/>
      <c r="H16" t="str">
        <f t="shared" si="3"/>
        <v xml:space="preserve">Γκούζια, Ελένη </v>
      </c>
      <c r="I16" s="1" t="s">
        <v>53</v>
      </c>
      <c r="J16" s="10">
        <f>Table1[[#This Row],[Fixed_DATE]]</f>
        <v>38353</v>
      </c>
      <c r="K16" s="1" t="s">
        <v>238</v>
      </c>
      <c r="L16" s="23">
        <v>2005</v>
      </c>
      <c r="M16" s="112">
        <f t="shared" si="0"/>
        <v>38353</v>
      </c>
      <c r="N16" s="1" t="s">
        <v>209</v>
      </c>
      <c r="O16" s="78" t="str">
        <f t="shared" si="1"/>
        <v xml:space="preserve">Ελένη </v>
      </c>
      <c r="P16" s="78" t="str">
        <f t="shared" si="2"/>
        <v>Γκούζια</v>
      </c>
    </row>
    <row r="17" spans="1:16" ht="18" customHeight="1" x14ac:dyDescent="0.2">
      <c r="A17" s="9" t="s">
        <v>464</v>
      </c>
      <c r="B17" t="s">
        <v>467</v>
      </c>
      <c r="C17" s="23" t="s">
        <v>501</v>
      </c>
      <c r="D17" s="11" t="s">
        <v>450</v>
      </c>
      <c r="E17" s="59">
        <v>3560</v>
      </c>
      <c r="F17" s="1" t="s">
        <v>264</v>
      </c>
      <c r="G17" s="56"/>
      <c r="H17" t="str">
        <f t="shared" si="3"/>
        <v xml:space="preserve">Γκούζια, Ελένη </v>
      </c>
      <c r="I17" s="1" t="s">
        <v>48</v>
      </c>
      <c r="J17" s="10">
        <f>Table1[[#This Row],[Fixed_DATE]]</f>
        <v>40377</v>
      </c>
      <c r="K17" s="1" t="s">
        <v>56</v>
      </c>
      <c r="L17" s="15">
        <v>40377</v>
      </c>
      <c r="M17" s="112">
        <f t="shared" si="0"/>
        <v>40377</v>
      </c>
      <c r="N17" s="1" t="s">
        <v>209</v>
      </c>
      <c r="O17" s="78" t="str">
        <f t="shared" si="1"/>
        <v xml:space="preserve">Ελένη </v>
      </c>
      <c r="P17" s="78" t="str">
        <f t="shared" si="2"/>
        <v>Γκούζια</v>
      </c>
    </row>
    <row r="18" spans="1:16" ht="18" customHeight="1" x14ac:dyDescent="0.2">
      <c r="A18" s="9" t="s">
        <v>428</v>
      </c>
      <c r="B18" s="9" t="s">
        <v>444</v>
      </c>
      <c r="C18" s="12" t="s">
        <v>495</v>
      </c>
      <c r="D18" s="11" t="s">
        <v>450</v>
      </c>
      <c r="E18" s="54">
        <v>2085</v>
      </c>
      <c r="F18" s="108" t="s">
        <v>195</v>
      </c>
      <c r="H18" t="str">
        <f t="shared" si="3"/>
        <v xml:space="preserve">Αποστολίδης, Δημήτριος </v>
      </c>
      <c r="J18" s="10">
        <f>Table1[[#This Row],[Fixed_DATE]]</f>
        <v>42736</v>
      </c>
      <c r="K18" t="s">
        <v>19</v>
      </c>
      <c r="L18" s="11">
        <v>2017</v>
      </c>
      <c r="M18" s="112">
        <f t="shared" si="0"/>
        <v>42736</v>
      </c>
      <c r="N18" t="s">
        <v>194</v>
      </c>
      <c r="O18" s="78" t="str">
        <f t="shared" si="1"/>
        <v xml:space="preserve">Δημήτριος </v>
      </c>
      <c r="P18" s="78" t="str">
        <f t="shared" si="2"/>
        <v>Αποστολίδης</v>
      </c>
    </row>
    <row r="19" spans="1:16" ht="18" customHeight="1" x14ac:dyDescent="0.2">
      <c r="A19" s="9" t="s">
        <v>428</v>
      </c>
      <c r="B19" s="9" t="s">
        <v>444</v>
      </c>
      <c r="C19" s="12" t="s">
        <v>496</v>
      </c>
      <c r="D19" s="11" t="s">
        <v>450</v>
      </c>
      <c r="E19" s="54">
        <v>3120</v>
      </c>
      <c r="F19" t="s">
        <v>197</v>
      </c>
      <c r="H19" t="str">
        <f t="shared" si="3"/>
        <v xml:space="preserve">Αρβανίτης, Νικόλαος </v>
      </c>
      <c r="I19" t="s">
        <v>48</v>
      </c>
      <c r="J19" s="10">
        <f>Table1[[#This Row],[Fixed_DATE]]</f>
        <v>39659</v>
      </c>
      <c r="K19" t="s">
        <v>108</v>
      </c>
      <c r="L19" s="10">
        <v>39659</v>
      </c>
      <c r="M19" s="112">
        <f t="shared" si="0"/>
        <v>39659</v>
      </c>
      <c r="N19" t="s">
        <v>196</v>
      </c>
      <c r="O19" s="78" t="str">
        <f t="shared" si="1"/>
        <v xml:space="preserve">Νικόλαος </v>
      </c>
      <c r="P19" s="78" t="str">
        <f t="shared" si="2"/>
        <v>Αρβανίτης</v>
      </c>
    </row>
    <row r="20" spans="1:16" ht="18" customHeight="1" x14ac:dyDescent="0.2">
      <c r="A20" s="9" t="s">
        <v>428</v>
      </c>
      <c r="B20" s="9" t="s">
        <v>444</v>
      </c>
      <c r="C20" s="12" t="s">
        <v>497</v>
      </c>
      <c r="D20" s="11" t="s">
        <v>450</v>
      </c>
      <c r="E20" s="54">
        <v>3529</v>
      </c>
      <c r="F20" t="s">
        <v>198</v>
      </c>
      <c r="H20" t="str">
        <f t="shared" si="3"/>
        <v xml:space="preserve">Ανδρέογλου, Ευθύμιος </v>
      </c>
      <c r="I20" s="58"/>
      <c r="J20" s="10">
        <f>Table1[[#This Row],[Fixed_DATE]]</f>
        <v>43611</v>
      </c>
      <c r="K20" t="s">
        <v>19</v>
      </c>
      <c r="L20" s="10">
        <v>43611</v>
      </c>
      <c r="M20" s="112">
        <f t="shared" si="0"/>
        <v>43611</v>
      </c>
      <c r="N20" t="s">
        <v>136</v>
      </c>
      <c r="O20" s="78" t="str">
        <f t="shared" si="1"/>
        <v xml:space="preserve">Ευθύμιος </v>
      </c>
      <c r="P20" s="78" t="str">
        <f t="shared" si="2"/>
        <v>Ανδρέογλου</v>
      </c>
    </row>
    <row r="21" spans="1:16" ht="18" customHeight="1" x14ac:dyDescent="0.2">
      <c r="A21" s="9" t="s">
        <v>428</v>
      </c>
      <c r="B21" s="9" t="s">
        <v>444</v>
      </c>
      <c r="C21" s="12" t="s">
        <v>498</v>
      </c>
      <c r="D21" s="11" t="s">
        <v>450</v>
      </c>
      <c r="E21" s="54">
        <v>3268</v>
      </c>
      <c r="F21" t="s">
        <v>509</v>
      </c>
      <c r="H21" t="str">
        <f t="shared" si="3"/>
        <v xml:space="preserve">Ανδρέογλου, Ευθύμιος </v>
      </c>
      <c r="I21" t="s">
        <v>508</v>
      </c>
      <c r="J21" s="10">
        <f>Table1[[#This Row],[Fixed_DATE]]</f>
        <v>45808</v>
      </c>
      <c r="K21" t="s">
        <v>64</v>
      </c>
      <c r="L21" s="10">
        <v>45808</v>
      </c>
      <c r="M21" s="112">
        <f t="shared" si="0"/>
        <v>45808</v>
      </c>
      <c r="N21" t="s">
        <v>136</v>
      </c>
      <c r="O21" s="78" t="str">
        <f t="shared" si="1"/>
        <v xml:space="preserve">Ευθύμιος </v>
      </c>
      <c r="P21" s="78" t="str">
        <f t="shared" si="2"/>
        <v>Ανδρέογλου</v>
      </c>
    </row>
    <row r="22" spans="1:16" ht="18" customHeight="1" x14ac:dyDescent="0.2">
      <c r="A22" s="9" t="s">
        <v>428</v>
      </c>
      <c r="B22" s="9" t="s">
        <v>444</v>
      </c>
      <c r="C22" s="12" t="s">
        <v>499</v>
      </c>
      <c r="D22" s="11" t="s">
        <v>450</v>
      </c>
      <c r="E22" s="54">
        <v>2911</v>
      </c>
      <c r="F22" t="s">
        <v>510</v>
      </c>
      <c r="H22" t="str">
        <f t="shared" si="3"/>
        <v xml:space="preserve">Αρβανίτης, Νικόλαος </v>
      </c>
      <c r="I22" t="s">
        <v>508</v>
      </c>
      <c r="J22" s="10">
        <f>Table1[[#This Row],[Fixed_DATE]]</f>
        <v>45808</v>
      </c>
      <c r="K22" t="s">
        <v>64</v>
      </c>
      <c r="L22" s="10">
        <v>45808</v>
      </c>
      <c r="M22" s="112">
        <f t="shared" si="0"/>
        <v>45808</v>
      </c>
      <c r="N22" t="s">
        <v>196</v>
      </c>
      <c r="O22" s="78" t="str">
        <f t="shared" si="1"/>
        <v xml:space="preserve">Νικόλαος </v>
      </c>
      <c r="P22" s="78" t="str">
        <f t="shared" si="2"/>
        <v>Αρβανίτης</v>
      </c>
    </row>
    <row r="23" spans="1:16" ht="18" customHeight="1" x14ac:dyDescent="0.2">
      <c r="A23" s="9" t="s">
        <v>428</v>
      </c>
      <c r="B23" s="9" t="s">
        <v>444</v>
      </c>
      <c r="C23" s="12" t="s">
        <v>500</v>
      </c>
      <c r="D23" s="11" t="s">
        <v>450</v>
      </c>
      <c r="E23" s="54">
        <v>2822</v>
      </c>
      <c r="F23" t="s">
        <v>200</v>
      </c>
      <c r="H23" t="str">
        <f t="shared" si="3"/>
        <v xml:space="preserve">Χαϊτίδης, Δημήτριος </v>
      </c>
      <c r="J23" s="10">
        <f>Table1[[#This Row],[Fixed_DATE]]</f>
        <v>43466</v>
      </c>
      <c r="K23" t="s">
        <v>19</v>
      </c>
      <c r="L23" s="11">
        <v>2019</v>
      </c>
      <c r="M23" s="112">
        <f t="shared" si="0"/>
        <v>43466</v>
      </c>
      <c r="N23" t="s">
        <v>199</v>
      </c>
      <c r="O23" s="78" t="str">
        <f t="shared" si="1"/>
        <v xml:space="preserve">Δημήτριος </v>
      </c>
      <c r="P23" s="78" t="str">
        <f t="shared" si="2"/>
        <v>Χαϊτίδης</v>
      </c>
    </row>
    <row r="24" spans="1:16" ht="18" customHeight="1" x14ac:dyDescent="0.2">
      <c r="A24" s="9" t="s">
        <v>428</v>
      </c>
      <c r="B24" s="9" t="s">
        <v>444</v>
      </c>
      <c r="C24" s="12" t="s">
        <v>501</v>
      </c>
      <c r="D24" s="11" t="s">
        <v>450</v>
      </c>
      <c r="E24" s="54">
        <v>2884</v>
      </c>
      <c r="F24" t="s">
        <v>376</v>
      </c>
      <c r="H24" t="str">
        <f t="shared" si="3"/>
        <v xml:space="preserve">Μπασδέκης, Παύλος </v>
      </c>
      <c r="I24" t="s">
        <v>283</v>
      </c>
      <c r="J24" s="10">
        <f>Table1[[#This Row],[Fixed_DATE]]</f>
        <v>45444</v>
      </c>
      <c r="K24" t="s">
        <v>19</v>
      </c>
      <c r="L24" s="10">
        <v>45444</v>
      </c>
      <c r="M24" s="112">
        <f t="shared" si="0"/>
        <v>45444</v>
      </c>
      <c r="N24" t="s">
        <v>155</v>
      </c>
      <c r="O24" s="78" t="str">
        <f t="shared" si="1"/>
        <v xml:space="preserve">Παύλος </v>
      </c>
      <c r="P24" s="78" t="str">
        <f t="shared" si="2"/>
        <v>Μπασδέκης</v>
      </c>
    </row>
    <row r="25" spans="1:16" ht="18" customHeight="1" x14ac:dyDescent="0.2">
      <c r="A25" s="9" t="s">
        <v>428</v>
      </c>
      <c r="B25" s="9" t="s">
        <v>444</v>
      </c>
      <c r="C25" s="12" t="s">
        <v>502</v>
      </c>
      <c r="D25" s="11" t="s">
        <v>450</v>
      </c>
      <c r="E25" s="54">
        <v>2876</v>
      </c>
      <c r="F25" t="s">
        <v>312</v>
      </c>
      <c r="H25" t="str">
        <f t="shared" si="3"/>
        <v xml:space="preserve">Χρυσόχος, Παντελής </v>
      </c>
      <c r="I25" t="s">
        <v>15</v>
      </c>
      <c r="J25" s="10">
        <f>Table1[[#This Row],[Fixed_DATE]]</f>
        <v>44800</v>
      </c>
      <c r="K25" t="s">
        <v>19</v>
      </c>
      <c r="L25" s="10">
        <v>44800</v>
      </c>
      <c r="M25" s="112">
        <f t="shared" si="0"/>
        <v>44800</v>
      </c>
      <c r="N25" t="s">
        <v>282</v>
      </c>
      <c r="O25" s="78" t="str">
        <f t="shared" si="1"/>
        <v xml:space="preserve">Παντελής </v>
      </c>
      <c r="P25" s="78" t="str">
        <f t="shared" si="2"/>
        <v>Χρυσόχος</v>
      </c>
    </row>
    <row r="26" spans="1:16" ht="18" customHeight="1" x14ac:dyDescent="0.2">
      <c r="A26" s="9" t="s">
        <v>428</v>
      </c>
      <c r="B26" s="9" t="s">
        <v>444</v>
      </c>
      <c r="C26" s="12" t="s">
        <v>503</v>
      </c>
      <c r="D26" s="11" t="s">
        <v>450</v>
      </c>
      <c r="E26" s="54">
        <v>2042</v>
      </c>
      <c r="F26" s="108" t="s">
        <v>334</v>
      </c>
      <c r="H26" t="str">
        <f t="shared" si="3"/>
        <v xml:space="preserve">Ομηρίδης, Δημήτριος </v>
      </c>
      <c r="I26" t="s">
        <v>31</v>
      </c>
      <c r="J26" s="10">
        <f>Table1[[#This Row],[Fixed_DATE]]</f>
        <v>45116</v>
      </c>
      <c r="K26" t="s">
        <v>19</v>
      </c>
      <c r="L26" s="10">
        <v>45116</v>
      </c>
      <c r="M26" s="112">
        <f t="shared" si="0"/>
        <v>45116</v>
      </c>
      <c r="N26" t="s">
        <v>277</v>
      </c>
      <c r="O26" s="78" t="str">
        <f t="shared" si="1"/>
        <v xml:space="preserve">Δημήτριος </v>
      </c>
      <c r="P26" s="78" t="str">
        <f t="shared" si="2"/>
        <v>Ομηρίδης</v>
      </c>
    </row>
    <row r="27" spans="1:16" ht="18" customHeight="1" x14ac:dyDescent="0.2">
      <c r="A27" s="9" t="s">
        <v>428</v>
      </c>
      <c r="B27" s="9" t="s">
        <v>444</v>
      </c>
      <c r="C27" s="23">
        <v>80</v>
      </c>
      <c r="D27" s="11" t="s">
        <v>450</v>
      </c>
      <c r="E27" s="59">
        <v>2137</v>
      </c>
      <c r="F27" s="109" t="s">
        <v>511</v>
      </c>
      <c r="G27" s="56"/>
      <c r="H27" t="str">
        <f t="shared" si="3"/>
        <v xml:space="preserve">Ομηρίδης, Δημήτριος </v>
      </c>
      <c r="I27" s="1" t="s">
        <v>508</v>
      </c>
      <c r="J27" s="10">
        <f>Table1[[#This Row],[Fixed_DATE]]</f>
        <v>45808</v>
      </c>
      <c r="K27" s="1" t="s">
        <v>64</v>
      </c>
      <c r="L27" s="15">
        <v>45808</v>
      </c>
      <c r="M27" s="112">
        <f t="shared" si="0"/>
        <v>45808</v>
      </c>
      <c r="N27" t="s">
        <v>277</v>
      </c>
      <c r="O27" s="78" t="str">
        <f t="shared" si="1"/>
        <v xml:space="preserve">Δημήτριος </v>
      </c>
      <c r="P27" s="78" t="str">
        <f t="shared" si="2"/>
        <v>Ομηρίδης</v>
      </c>
    </row>
    <row r="28" spans="1:16" ht="18" customHeight="1" x14ac:dyDescent="0.2">
      <c r="A28" s="9" t="s">
        <v>464</v>
      </c>
      <c r="B28" t="s">
        <v>466</v>
      </c>
      <c r="C28" s="23" t="s">
        <v>499</v>
      </c>
      <c r="D28" s="11" t="s">
        <v>450</v>
      </c>
      <c r="E28" s="59">
        <v>1858</v>
      </c>
      <c r="F28" s="109" t="s">
        <v>267</v>
      </c>
      <c r="G28" s="56"/>
      <c r="H28" t="str">
        <f t="shared" si="3"/>
        <v xml:space="preserve">Γκούζια, Ελένη </v>
      </c>
      <c r="I28" s="1" t="s">
        <v>48</v>
      </c>
      <c r="J28" s="10">
        <f>Table1[[#This Row],[Fixed_DATE]]</f>
        <v>37257</v>
      </c>
      <c r="K28" s="1" t="s">
        <v>111</v>
      </c>
      <c r="L28" s="23">
        <v>2002</v>
      </c>
      <c r="M28" s="112">
        <f t="shared" si="0"/>
        <v>37257</v>
      </c>
      <c r="N28" s="1" t="s">
        <v>209</v>
      </c>
      <c r="O28" s="78" t="str">
        <f t="shared" si="1"/>
        <v xml:space="preserve">Ελένη </v>
      </c>
      <c r="P28" s="78" t="str">
        <f t="shared" si="2"/>
        <v>Γκούζια</v>
      </c>
    </row>
    <row r="29" spans="1:16" ht="18" customHeight="1" x14ac:dyDescent="0.2">
      <c r="A29" s="9" t="s">
        <v>428</v>
      </c>
      <c r="B29" s="9" t="s">
        <v>443</v>
      </c>
      <c r="C29" s="12" t="s">
        <v>495</v>
      </c>
      <c r="D29" s="11" t="s">
        <v>450</v>
      </c>
      <c r="E29" s="54">
        <v>2253</v>
      </c>
      <c r="F29" s="108" t="s">
        <v>188</v>
      </c>
      <c r="H29" t="str">
        <f t="shared" si="3"/>
        <v xml:space="preserve">Γαζής, Δημήτριος </v>
      </c>
      <c r="I29" t="s">
        <v>48</v>
      </c>
      <c r="J29" s="10">
        <f>Table1[[#This Row],[Fixed_DATE]]</f>
        <v>41640</v>
      </c>
      <c r="K29" t="s">
        <v>41</v>
      </c>
      <c r="L29" s="11">
        <v>2014</v>
      </c>
      <c r="M29" s="112">
        <f t="shared" si="0"/>
        <v>41640</v>
      </c>
      <c r="N29" t="s">
        <v>186</v>
      </c>
      <c r="O29" s="78" t="str">
        <f t="shared" si="1"/>
        <v xml:space="preserve">Δημήτριος </v>
      </c>
      <c r="P29" s="78" t="str">
        <f t="shared" si="2"/>
        <v>Γαζής</v>
      </c>
    </row>
    <row r="30" spans="1:16" ht="18" customHeight="1" x14ac:dyDescent="0.2">
      <c r="A30" s="9" t="s">
        <v>428</v>
      </c>
      <c r="B30" s="9" t="s">
        <v>443</v>
      </c>
      <c r="C30" s="12" t="s">
        <v>496</v>
      </c>
      <c r="D30" s="11" t="s">
        <v>450</v>
      </c>
      <c r="E30" s="54">
        <v>4011</v>
      </c>
      <c r="F30" t="s">
        <v>187</v>
      </c>
      <c r="H30" t="str">
        <f t="shared" si="3"/>
        <v xml:space="preserve">Μαγγανάς, Βασίλειος </v>
      </c>
      <c r="I30" t="s">
        <v>48</v>
      </c>
      <c r="J30" s="10">
        <f>Table1[[#This Row],[Fixed_DATE]]</f>
        <v>34496</v>
      </c>
      <c r="K30" t="s">
        <v>86</v>
      </c>
      <c r="L30" s="10">
        <v>34496</v>
      </c>
      <c r="M30" s="112">
        <f t="shared" si="0"/>
        <v>34496</v>
      </c>
      <c r="N30" t="s">
        <v>166</v>
      </c>
      <c r="O30" s="78" t="str">
        <f t="shared" si="1"/>
        <v xml:space="preserve">Βασίλειος </v>
      </c>
      <c r="P30" s="78" t="str">
        <f t="shared" si="2"/>
        <v>Μαγγανάς</v>
      </c>
    </row>
    <row r="31" spans="1:16" ht="18" customHeight="1" x14ac:dyDescent="0.2">
      <c r="A31" s="9" t="s">
        <v>428</v>
      </c>
      <c r="B31" s="9" t="s">
        <v>443</v>
      </c>
      <c r="C31" s="12" t="s">
        <v>497</v>
      </c>
      <c r="D31" s="11" t="s">
        <v>450</v>
      </c>
      <c r="E31" s="54">
        <v>4374</v>
      </c>
      <c r="F31" t="s">
        <v>189</v>
      </c>
      <c r="H31" t="str">
        <f t="shared" si="3"/>
        <v xml:space="preserve">Μαγγανάς, Βασίλειος </v>
      </c>
      <c r="I31" s="58" t="s">
        <v>53</v>
      </c>
      <c r="J31" s="10">
        <f>Table1[[#This Row],[Fixed_DATE]]</f>
        <v>37080</v>
      </c>
      <c r="K31" t="s">
        <v>163</v>
      </c>
      <c r="L31" s="10">
        <v>37080</v>
      </c>
      <c r="M31" s="112">
        <f t="shared" si="0"/>
        <v>37080</v>
      </c>
      <c r="N31" t="s">
        <v>166</v>
      </c>
      <c r="O31" s="78" t="str">
        <f t="shared" si="1"/>
        <v xml:space="preserve">Βασίλειος </v>
      </c>
      <c r="P31" s="78" t="str">
        <f t="shared" si="2"/>
        <v>Μαγγανάς</v>
      </c>
    </row>
    <row r="32" spans="1:16" ht="18" customHeight="1" x14ac:dyDescent="0.2">
      <c r="A32" s="9" t="s">
        <v>428</v>
      </c>
      <c r="B32" s="9" t="s">
        <v>443</v>
      </c>
      <c r="C32" s="12" t="s">
        <v>498</v>
      </c>
      <c r="D32" s="11" t="s">
        <v>450</v>
      </c>
      <c r="E32" s="54">
        <v>4265</v>
      </c>
      <c r="F32" t="s">
        <v>190</v>
      </c>
      <c r="H32" t="str">
        <f t="shared" si="3"/>
        <v xml:space="preserve">Μαγγανάς, Βασίλειος </v>
      </c>
      <c r="I32" t="s">
        <v>48</v>
      </c>
      <c r="J32" s="10">
        <f>Table1[[#This Row],[Fixed_DATE]]</f>
        <v>38195</v>
      </c>
      <c r="K32" t="s">
        <v>74</v>
      </c>
      <c r="L32" s="10">
        <v>38195</v>
      </c>
      <c r="M32" s="112">
        <f t="shared" si="0"/>
        <v>38195</v>
      </c>
      <c r="N32" t="s">
        <v>166</v>
      </c>
      <c r="O32" s="78" t="str">
        <f t="shared" si="1"/>
        <v xml:space="preserve">Βασίλειος </v>
      </c>
      <c r="P32" s="78" t="str">
        <f t="shared" si="2"/>
        <v>Μαγγανάς</v>
      </c>
    </row>
    <row r="33" spans="1:16" ht="18" customHeight="1" x14ac:dyDescent="0.2">
      <c r="A33" s="9" t="s">
        <v>428</v>
      </c>
      <c r="B33" s="9" t="s">
        <v>443</v>
      </c>
      <c r="C33" s="12" t="s">
        <v>499</v>
      </c>
      <c r="D33" s="11" t="s">
        <v>450</v>
      </c>
      <c r="E33" s="54">
        <v>4089</v>
      </c>
      <c r="F33" t="s">
        <v>191</v>
      </c>
      <c r="H33" t="str">
        <f t="shared" si="3"/>
        <v xml:space="preserve">Μαγγανάς, Βασίλειος </v>
      </c>
      <c r="I33" s="58" t="s">
        <v>53</v>
      </c>
      <c r="J33" s="10">
        <f>Table1[[#This Row],[Fixed_DATE]]</f>
        <v>40031</v>
      </c>
      <c r="K33" t="s">
        <v>184</v>
      </c>
      <c r="L33" s="10">
        <v>40031</v>
      </c>
      <c r="M33" s="112">
        <f t="shared" si="0"/>
        <v>40031</v>
      </c>
      <c r="N33" t="s">
        <v>166</v>
      </c>
      <c r="O33" s="78" t="str">
        <f t="shared" si="1"/>
        <v xml:space="preserve">Βασίλειος </v>
      </c>
      <c r="P33" s="78" t="str">
        <f t="shared" si="2"/>
        <v>Μαγγανάς</v>
      </c>
    </row>
    <row r="34" spans="1:16" ht="18" customHeight="1" x14ac:dyDescent="0.2">
      <c r="A34" s="9" t="s">
        <v>428</v>
      </c>
      <c r="B34" s="9" t="s">
        <v>443</v>
      </c>
      <c r="C34" s="12" t="s">
        <v>500</v>
      </c>
      <c r="D34" s="11" t="s">
        <v>450</v>
      </c>
      <c r="E34" s="54">
        <v>3813</v>
      </c>
      <c r="F34" t="s">
        <v>192</v>
      </c>
      <c r="H34" t="str">
        <f t="shared" si="3"/>
        <v xml:space="preserve">Μαγγανάς, Βασίλειος </v>
      </c>
      <c r="I34" t="s">
        <v>48</v>
      </c>
      <c r="J34" s="10">
        <f>Table1[[#This Row],[Fixed_DATE]]</f>
        <v>41878</v>
      </c>
      <c r="K34" t="s">
        <v>41</v>
      </c>
      <c r="L34" s="10">
        <v>41878</v>
      </c>
      <c r="M34" s="112">
        <f t="shared" si="0"/>
        <v>41878</v>
      </c>
      <c r="N34" t="s">
        <v>166</v>
      </c>
      <c r="O34" s="78" t="str">
        <f t="shared" ref="O34:O46" si="4">LEFT(N34,FIND(" ",N34))</f>
        <v xml:space="preserve">Βασίλειος </v>
      </c>
      <c r="P34" s="78" t="str">
        <f t="shared" ref="P34:P46" si="5">MID(N34,FIND(" ",N34)+1,LEN(N34))</f>
        <v>Μαγγανάς</v>
      </c>
    </row>
    <row r="35" spans="1:16" ht="18" customHeight="1" x14ac:dyDescent="0.2">
      <c r="A35" s="9" t="s">
        <v>428</v>
      </c>
      <c r="B35" s="9" t="s">
        <v>443</v>
      </c>
      <c r="C35" s="12" t="s">
        <v>501</v>
      </c>
      <c r="D35" s="11" t="s">
        <v>450</v>
      </c>
      <c r="E35" s="54">
        <v>3852</v>
      </c>
      <c r="F35" t="s">
        <v>193</v>
      </c>
      <c r="H35" t="str">
        <f t="shared" si="3"/>
        <v xml:space="preserve">Μαγγανάς, Βασίλειος </v>
      </c>
      <c r="I35" t="s">
        <v>48</v>
      </c>
      <c r="J35" s="10">
        <f>Table1[[#This Row],[Fixed_DATE]]</f>
        <v>43723</v>
      </c>
      <c r="K35" t="s">
        <v>245</v>
      </c>
      <c r="L35" s="10">
        <v>43723</v>
      </c>
      <c r="M35" s="112">
        <f t="shared" si="0"/>
        <v>43723</v>
      </c>
      <c r="N35" t="s">
        <v>166</v>
      </c>
      <c r="O35" s="78" t="str">
        <f t="shared" si="4"/>
        <v xml:space="preserve">Βασίλειος </v>
      </c>
      <c r="P35" s="78" t="str">
        <f t="shared" si="5"/>
        <v>Μαγγανάς</v>
      </c>
    </row>
    <row r="36" spans="1:16" ht="18" customHeight="1" x14ac:dyDescent="0.2">
      <c r="A36" s="9" t="s">
        <v>428</v>
      </c>
      <c r="B36" s="9" t="s">
        <v>443</v>
      </c>
      <c r="C36" s="12" t="s">
        <v>502</v>
      </c>
      <c r="D36" s="11" t="s">
        <v>450</v>
      </c>
      <c r="E36" s="54">
        <v>3528</v>
      </c>
      <c r="F36" t="s">
        <v>377</v>
      </c>
      <c r="H36" t="str">
        <f t="shared" si="3"/>
        <v xml:space="preserve">Μαγγανάς, Βασίλειος </v>
      </c>
      <c r="I36" t="s">
        <v>283</v>
      </c>
      <c r="J36" s="10">
        <f>Table1[[#This Row],[Fixed_DATE]]</f>
        <v>45445</v>
      </c>
      <c r="K36" t="s">
        <v>19</v>
      </c>
      <c r="L36" s="10">
        <v>45445</v>
      </c>
      <c r="M36" s="112">
        <f t="shared" si="0"/>
        <v>45445</v>
      </c>
      <c r="N36" t="s">
        <v>166</v>
      </c>
      <c r="O36" s="78" t="str">
        <f t="shared" si="4"/>
        <v xml:space="preserve">Βασίλειος </v>
      </c>
      <c r="P36" s="78" t="str">
        <f t="shared" si="5"/>
        <v>Μαγγανάς</v>
      </c>
    </row>
    <row r="37" spans="1:16" ht="18" customHeight="1" x14ac:dyDescent="0.2">
      <c r="A37" s="9" t="s">
        <v>428</v>
      </c>
      <c r="B37" s="9" t="s">
        <v>443</v>
      </c>
      <c r="C37" s="12" t="s">
        <v>503</v>
      </c>
      <c r="D37" s="11" t="s">
        <v>450</v>
      </c>
      <c r="E37" s="54">
        <v>2451</v>
      </c>
      <c r="F37" s="108" t="s">
        <v>284</v>
      </c>
      <c r="H37" t="str">
        <f t="shared" si="3"/>
        <v xml:space="preserve">Κυριακίδης, Βασίλειος </v>
      </c>
      <c r="I37" t="s">
        <v>283</v>
      </c>
      <c r="J37" s="10">
        <f>Table1[[#This Row],[Fixed_DATE]]</f>
        <v>44079</v>
      </c>
      <c r="K37" t="s">
        <v>19</v>
      </c>
      <c r="L37" s="10">
        <v>44079</v>
      </c>
      <c r="M37" s="112">
        <f t="shared" si="0"/>
        <v>44079</v>
      </c>
      <c r="N37" t="s">
        <v>175</v>
      </c>
      <c r="O37" s="78" t="str">
        <f t="shared" si="4"/>
        <v xml:space="preserve">Βασίλειος </v>
      </c>
      <c r="P37" s="78" t="str">
        <f t="shared" si="5"/>
        <v>Κυριακίδης</v>
      </c>
    </row>
    <row r="38" spans="1:16" ht="18" customHeight="1" x14ac:dyDescent="0.2">
      <c r="A38" s="9" t="s">
        <v>428</v>
      </c>
      <c r="B38" s="9" t="s">
        <v>443</v>
      </c>
      <c r="C38" s="12" t="s">
        <v>504</v>
      </c>
      <c r="D38" s="11" t="s">
        <v>450</v>
      </c>
      <c r="E38" s="54">
        <v>2019</v>
      </c>
      <c r="F38" s="108" t="s">
        <v>314</v>
      </c>
      <c r="H38" t="str">
        <f t="shared" si="3"/>
        <v xml:space="preserve">Κυριακίδης, Βασίλειος </v>
      </c>
      <c r="I38" t="s">
        <v>15</v>
      </c>
      <c r="J38" s="10">
        <f>Table1[[#This Row],[Fixed_DATE]]</f>
        <v>44800</v>
      </c>
      <c r="K38" t="s">
        <v>19</v>
      </c>
      <c r="L38" s="10">
        <v>44800</v>
      </c>
      <c r="M38" s="112">
        <f t="shared" si="0"/>
        <v>44800</v>
      </c>
      <c r="N38" t="s">
        <v>175</v>
      </c>
      <c r="O38" s="78" t="str">
        <f t="shared" si="4"/>
        <v xml:space="preserve">Βασίλειος </v>
      </c>
      <c r="P38" s="78" t="str">
        <f t="shared" si="5"/>
        <v>Κυριακίδης</v>
      </c>
    </row>
    <row r="39" spans="1:16" ht="18" customHeight="1" x14ac:dyDescent="0.2">
      <c r="A39" s="9" t="s">
        <v>464</v>
      </c>
      <c r="B39" t="s">
        <v>465</v>
      </c>
      <c r="C39" s="23" t="s">
        <v>495</v>
      </c>
      <c r="D39" s="11" t="s">
        <v>450</v>
      </c>
      <c r="E39" s="59">
        <v>2358</v>
      </c>
      <c r="F39" s="109" t="s">
        <v>265</v>
      </c>
      <c r="G39" s="56"/>
      <c r="H39" t="str">
        <f t="shared" si="3"/>
        <v xml:space="preserve">Πανάβογλου, Ιωάννα </v>
      </c>
      <c r="I39" s="1"/>
      <c r="J39" s="10">
        <f>Table1[[#This Row],[Fixed_DATE]]</f>
        <v>42370</v>
      </c>
      <c r="K39" s="1" t="s">
        <v>19</v>
      </c>
      <c r="L39" s="23">
        <v>2016</v>
      </c>
      <c r="M39" s="112">
        <f t="shared" si="0"/>
        <v>42370</v>
      </c>
      <c r="N39" s="1" t="s">
        <v>259</v>
      </c>
      <c r="O39" s="78" t="str">
        <f t="shared" si="4"/>
        <v xml:space="preserve">Ιωάννα </v>
      </c>
      <c r="P39" s="78" t="str">
        <f t="shared" si="5"/>
        <v>Πανάβογλου</v>
      </c>
    </row>
    <row r="40" spans="1:16" ht="18" customHeight="1" x14ac:dyDescent="0.2">
      <c r="A40" s="9" t="s">
        <v>464</v>
      </c>
      <c r="B40" t="s">
        <v>465</v>
      </c>
      <c r="C40" s="23" t="s">
        <v>496</v>
      </c>
      <c r="D40" s="11" t="s">
        <v>450</v>
      </c>
      <c r="E40" s="59">
        <v>2725</v>
      </c>
      <c r="F40" s="109" t="s">
        <v>266</v>
      </c>
      <c r="G40" s="56"/>
      <c r="H40" t="str">
        <f t="shared" si="3"/>
        <v xml:space="preserve">Πανάβογλου, Ιωάννα </v>
      </c>
      <c r="I40" s="1"/>
      <c r="J40" s="10">
        <f>Table1[[#This Row],[Fixed_DATE]]</f>
        <v>43247</v>
      </c>
      <c r="K40" s="1" t="s">
        <v>19</v>
      </c>
      <c r="L40" s="15">
        <v>43247</v>
      </c>
      <c r="M40" s="112">
        <f t="shared" si="0"/>
        <v>43247</v>
      </c>
      <c r="N40" s="1" t="s">
        <v>259</v>
      </c>
      <c r="O40" s="78" t="str">
        <f t="shared" si="4"/>
        <v xml:space="preserve">Ιωάννα </v>
      </c>
      <c r="P40" s="78" t="str">
        <f t="shared" si="5"/>
        <v>Πανάβογλου</v>
      </c>
    </row>
    <row r="41" spans="1:16" ht="18" customHeight="1" x14ac:dyDescent="0.2">
      <c r="A41" s="9" t="s">
        <v>464</v>
      </c>
      <c r="B41" t="s">
        <v>465</v>
      </c>
      <c r="C41" s="23" t="s">
        <v>497</v>
      </c>
      <c r="D41" s="11" t="s">
        <v>450</v>
      </c>
      <c r="E41" s="59">
        <v>2703</v>
      </c>
      <c r="F41" s="109" t="s">
        <v>378</v>
      </c>
      <c r="G41" s="56"/>
      <c r="H41" t="str">
        <f t="shared" si="3"/>
        <v xml:space="preserve">Πανάβογλου, Ιωάννα </v>
      </c>
      <c r="I41" s="1" t="s">
        <v>283</v>
      </c>
      <c r="J41" s="10">
        <f>Table1[[#This Row],[Fixed_DATE]]</f>
        <v>45445</v>
      </c>
      <c r="K41" s="1" t="s">
        <v>19</v>
      </c>
      <c r="L41" s="15">
        <v>45445</v>
      </c>
      <c r="M41" s="112">
        <f t="shared" si="0"/>
        <v>45445</v>
      </c>
      <c r="N41" s="1" t="s">
        <v>259</v>
      </c>
      <c r="O41" s="78" t="str">
        <f t="shared" si="4"/>
        <v xml:space="preserve">Ιωάννα </v>
      </c>
      <c r="P41" s="78" t="str">
        <f t="shared" si="5"/>
        <v>Πανάβογλου</v>
      </c>
    </row>
    <row r="42" spans="1:16" ht="18" customHeight="1" x14ac:dyDescent="0.2">
      <c r="A42" s="9" t="s">
        <v>464</v>
      </c>
      <c r="B42" t="s">
        <v>465</v>
      </c>
      <c r="C42" s="23" t="s">
        <v>498</v>
      </c>
      <c r="D42" s="11" t="s">
        <v>450</v>
      </c>
      <c r="E42" s="59">
        <v>2688</v>
      </c>
      <c r="F42" s="1" t="s">
        <v>263</v>
      </c>
      <c r="G42" s="56"/>
      <c r="H42" t="str">
        <f t="shared" si="3"/>
        <v xml:space="preserve">Πολομαρκάκη, Μαρία </v>
      </c>
      <c r="I42" s="1"/>
      <c r="J42" s="10">
        <f>Table1[[#This Row],[Fixed_DATE]]</f>
        <v>43247</v>
      </c>
      <c r="K42" s="1" t="s">
        <v>19</v>
      </c>
      <c r="L42" s="15">
        <v>43247</v>
      </c>
      <c r="M42" s="112">
        <f t="shared" si="0"/>
        <v>43247</v>
      </c>
      <c r="N42" s="1" t="s">
        <v>127</v>
      </c>
      <c r="O42" s="78" t="str">
        <f t="shared" si="4"/>
        <v xml:space="preserve">Μαρία </v>
      </c>
      <c r="P42" s="78" t="str">
        <f t="shared" si="5"/>
        <v>Πολομαρκάκη</v>
      </c>
    </row>
    <row r="43" spans="1:16" ht="18" customHeight="1" x14ac:dyDescent="0.2">
      <c r="A43" s="9" t="s">
        <v>464</v>
      </c>
      <c r="B43" t="s">
        <v>465</v>
      </c>
      <c r="C43" s="23" t="s">
        <v>499</v>
      </c>
      <c r="D43" s="11" t="s">
        <v>450</v>
      </c>
      <c r="E43" s="59">
        <v>2812</v>
      </c>
      <c r="F43" s="109" t="s">
        <v>308</v>
      </c>
      <c r="G43" s="56"/>
      <c r="H43" t="str">
        <f t="shared" si="3"/>
        <v xml:space="preserve">Πολομαρκάκη, Μαρία </v>
      </c>
      <c r="I43" s="1" t="s">
        <v>53</v>
      </c>
      <c r="J43" s="10">
        <f>Table1[[#This Row],[Fixed_DATE]]</f>
        <v>44748</v>
      </c>
      <c r="K43" s="1" t="s">
        <v>305</v>
      </c>
      <c r="L43" s="15">
        <v>44748</v>
      </c>
      <c r="M43" s="112">
        <f t="shared" si="0"/>
        <v>44748</v>
      </c>
      <c r="N43" s="1" t="s">
        <v>127</v>
      </c>
      <c r="O43" s="78" t="str">
        <f t="shared" si="4"/>
        <v xml:space="preserve">Μαρία </v>
      </c>
      <c r="P43" s="78" t="str">
        <f t="shared" si="5"/>
        <v>Πολομαρκάκη</v>
      </c>
    </row>
    <row r="44" spans="1:16" ht="18" customHeight="1" x14ac:dyDescent="0.2">
      <c r="A44" s="9" t="s">
        <v>464</v>
      </c>
      <c r="B44" t="s">
        <v>465</v>
      </c>
      <c r="C44" s="23" t="s">
        <v>500</v>
      </c>
      <c r="D44" s="11" t="s">
        <v>450</v>
      </c>
      <c r="E44" s="59">
        <v>2639</v>
      </c>
      <c r="F44" s="109" t="s">
        <v>294</v>
      </c>
      <c r="G44" s="56"/>
      <c r="H44" t="str">
        <f t="shared" si="3"/>
        <v xml:space="preserve">Καραμανώλη, Δημητρούλα </v>
      </c>
      <c r="I44" s="1" t="s">
        <v>283</v>
      </c>
      <c r="J44" s="10">
        <f>Table1[[#This Row],[Fixed_DATE]]</f>
        <v>44352</v>
      </c>
      <c r="K44" s="1" t="s">
        <v>19</v>
      </c>
      <c r="L44" s="15">
        <v>44352</v>
      </c>
      <c r="M44" s="112">
        <f t="shared" si="0"/>
        <v>44352</v>
      </c>
      <c r="N44" s="1" t="s">
        <v>293</v>
      </c>
      <c r="O44" s="78" t="str">
        <f t="shared" si="4"/>
        <v xml:space="preserve">Δημητρούλα </v>
      </c>
      <c r="P44" s="78" t="str">
        <f t="shared" si="5"/>
        <v>Καραμανώλη</v>
      </c>
    </row>
    <row r="45" spans="1:16" ht="18" customHeight="1" x14ac:dyDescent="0.2">
      <c r="A45" s="9" t="s">
        <v>464</v>
      </c>
      <c r="B45" t="s">
        <v>465</v>
      </c>
      <c r="C45" s="23" t="s">
        <v>501</v>
      </c>
      <c r="D45" s="11" t="s">
        <v>450</v>
      </c>
      <c r="E45" s="59">
        <v>3394</v>
      </c>
      <c r="F45" s="109" t="s">
        <v>285</v>
      </c>
      <c r="G45" s="56"/>
      <c r="H45" t="str">
        <f t="shared" si="3"/>
        <v xml:space="preserve">Ροϊλλίδου, Μάγδα </v>
      </c>
      <c r="I45" s="1" t="s">
        <v>283</v>
      </c>
      <c r="J45" s="10">
        <f>Table1[[#This Row],[Fixed_DATE]]</f>
        <v>44079</v>
      </c>
      <c r="K45" s="1" t="s">
        <v>19</v>
      </c>
      <c r="L45" s="15">
        <v>44079</v>
      </c>
      <c r="M45" s="112">
        <f t="shared" si="0"/>
        <v>44079</v>
      </c>
      <c r="N45" s="1" t="s">
        <v>254</v>
      </c>
      <c r="O45" s="78" t="str">
        <f t="shared" si="4"/>
        <v xml:space="preserve">Μάγδα </v>
      </c>
      <c r="P45" s="78" t="str">
        <f t="shared" si="5"/>
        <v>Ροϊλλίδου</v>
      </c>
    </row>
    <row r="46" spans="1:16" ht="18" customHeight="1" x14ac:dyDescent="0.2">
      <c r="A46" s="9" t="s">
        <v>464</v>
      </c>
      <c r="B46" t="s">
        <v>465</v>
      </c>
      <c r="C46" s="23" t="s">
        <v>502</v>
      </c>
      <c r="D46" s="11" t="s">
        <v>450</v>
      </c>
      <c r="E46" s="59">
        <v>3824</v>
      </c>
      <c r="F46" s="109" t="s">
        <v>306</v>
      </c>
      <c r="G46" s="56"/>
      <c r="H46" t="str">
        <f t="shared" si="3"/>
        <v xml:space="preserve">Ροϊλλίδου, Μάγδα </v>
      </c>
      <c r="I46" s="1" t="s">
        <v>53</v>
      </c>
      <c r="J46" s="10">
        <f>Table1[[#This Row],[Fixed_DATE]]</f>
        <v>44750</v>
      </c>
      <c r="K46" s="1" t="s">
        <v>305</v>
      </c>
      <c r="L46" s="15">
        <v>44750</v>
      </c>
      <c r="M46" s="112">
        <f t="shared" si="0"/>
        <v>44750</v>
      </c>
      <c r="N46" s="1" t="s">
        <v>254</v>
      </c>
      <c r="O46" s="78" t="str">
        <f t="shared" si="4"/>
        <v xml:space="preserve">Μάγδα </v>
      </c>
      <c r="P46" s="78" t="str">
        <f t="shared" si="5"/>
        <v>Ροϊλλίδου</v>
      </c>
    </row>
  </sheetData>
  <phoneticPr fontId="10" type="noConversion"/>
  <pageMargins left="0.7" right="0.7" top="0.75" bottom="0.75" header="0.3" footer="0.3"/>
  <pageSetup paperSize="9" scale="48" fitToHeight="12" orientation="landscape" horizontalDpi="4294967293" vertic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350C-0ED8-294D-B91D-87787A8A01DE}">
  <dimension ref="A1:N13"/>
  <sheetViews>
    <sheetView zoomScale="130" zoomScaleNormal="130" workbookViewId="0">
      <pane ySplit="2" topLeftCell="A3" activePane="bottomLeft" state="frozen"/>
      <selection activeCell="E1" sqref="E1"/>
      <selection pane="bottomLeft" activeCell="A14" sqref="A14"/>
    </sheetView>
  </sheetViews>
  <sheetFormatPr baseColWidth="10" defaultColWidth="9.1640625" defaultRowHeight="18" customHeight="1" outlineLevelCol="1" x14ac:dyDescent="0.2"/>
  <cols>
    <col min="2" max="2" width="25" customWidth="1"/>
    <col min="3" max="3" width="10.83203125" customWidth="1"/>
    <col min="4" max="4" width="3.6640625" customWidth="1"/>
    <col min="6" max="6" width="66.5" hidden="1" customWidth="1" outlineLevel="1"/>
    <col min="7" max="7" width="8.6640625" customWidth="1" collapsed="1"/>
    <col min="8" max="8" width="36.1640625" bestFit="1" customWidth="1"/>
    <col min="9" max="9" width="14.6640625" style="11" customWidth="1"/>
    <col min="10" max="10" width="11.6640625" style="11" customWidth="1"/>
    <col min="11" max="11" width="25.6640625" customWidth="1"/>
    <col min="12" max="12" width="30" customWidth="1"/>
    <col min="13" max="13" width="9.1640625" style="12"/>
    <col min="14" max="14" width="29.1640625" customWidth="1"/>
    <col min="15" max="15" width="10.5" bestFit="1" customWidth="1"/>
  </cols>
  <sheetData>
    <row r="1" spans="1:14" ht="18" customHeight="1" x14ac:dyDescent="0.25">
      <c r="C1" s="110" t="s">
        <v>92</v>
      </c>
      <c r="D1" s="110"/>
      <c r="E1" s="110"/>
      <c r="F1" s="110"/>
      <c r="G1" s="110"/>
      <c r="H1" s="110"/>
      <c r="I1" s="110"/>
      <c r="J1" s="110"/>
      <c r="K1" s="110"/>
      <c r="L1" s="110"/>
    </row>
    <row r="2" spans="1:14" ht="18" customHeight="1" x14ac:dyDescent="0.2">
      <c r="A2" s="24" t="s">
        <v>448</v>
      </c>
      <c r="B2" s="24" t="s">
        <v>446</v>
      </c>
      <c r="C2" s="25" t="s">
        <v>447</v>
      </c>
      <c r="D2" s="25" t="s">
        <v>449</v>
      </c>
      <c r="E2" s="8" t="s">
        <v>1</v>
      </c>
      <c r="F2" s="8" t="s">
        <v>454</v>
      </c>
      <c r="G2" s="8" t="s">
        <v>17</v>
      </c>
      <c r="H2" s="8" t="s">
        <v>2</v>
      </c>
      <c r="I2" s="26" t="s">
        <v>3</v>
      </c>
      <c r="J2" s="26" t="s">
        <v>4</v>
      </c>
      <c r="K2" s="8" t="s">
        <v>8</v>
      </c>
      <c r="L2" s="8" t="s">
        <v>7</v>
      </c>
      <c r="M2" s="8" t="s">
        <v>472</v>
      </c>
      <c r="N2" s="8" t="s">
        <v>473</v>
      </c>
    </row>
    <row r="3" spans="1:14" ht="18" customHeight="1" x14ac:dyDescent="0.2">
      <c r="A3" s="9" t="s">
        <v>428</v>
      </c>
      <c r="B3" s="9" t="s">
        <v>412</v>
      </c>
      <c r="C3" t="s">
        <v>0</v>
      </c>
      <c r="D3" t="s">
        <v>450</v>
      </c>
      <c r="E3" t="s">
        <v>413</v>
      </c>
      <c r="H3" t="s">
        <v>414</v>
      </c>
      <c r="I3" s="11">
        <v>1985</v>
      </c>
      <c r="J3" s="10">
        <v>44727</v>
      </c>
      <c r="K3" t="s">
        <v>415</v>
      </c>
      <c r="L3" t="s">
        <v>416</v>
      </c>
    </row>
    <row r="4" spans="1:14" ht="18" customHeight="1" x14ac:dyDescent="0.2">
      <c r="A4" s="9" t="s">
        <v>428</v>
      </c>
      <c r="B4" s="9" t="s">
        <v>412</v>
      </c>
      <c r="C4" t="s">
        <v>5</v>
      </c>
      <c r="D4" t="s">
        <v>450</v>
      </c>
      <c r="E4" t="s">
        <v>417</v>
      </c>
      <c r="H4" t="s">
        <v>418</v>
      </c>
      <c r="I4" s="11">
        <v>1977</v>
      </c>
      <c r="J4" s="10">
        <v>44727</v>
      </c>
      <c r="K4" t="s">
        <v>415</v>
      </c>
      <c r="L4" t="s">
        <v>416</v>
      </c>
    </row>
    <row r="5" spans="1:14" ht="18" customHeight="1" x14ac:dyDescent="0.2">
      <c r="A5" s="9" t="s">
        <v>428</v>
      </c>
      <c r="B5" s="9" t="s">
        <v>412</v>
      </c>
      <c r="C5" t="s">
        <v>9</v>
      </c>
      <c r="D5" t="s">
        <v>450</v>
      </c>
      <c r="E5" t="s">
        <v>419</v>
      </c>
      <c r="H5" t="s">
        <v>420</v>
      </c>
      <c r="I5" s="11">
        <v>1968</v>
      </c>
      <c r="J5" s="10">
        <v>44727</v>
      </c>
      <c r="K5" t="s">
        <v>415</v>
      </c>
      <c r="L5" t="s">
        <v>416</v>
      </c>
    </row>
    <row r="6" spans="1:14" ht="18" customHeight="1" x14ac:dyDescent="0.2">
      <c r="A6" s="16" t="s">
        <v>428</v>
      </c>
      <c r="B6" s="16" t="s">
        <v>412</v>
      </c>
      <c r="C6" s="17" t="s">
        <v>9</v>
      </c>
      <c r="D6" s="17" t="s">
        <v>450</v>
      </c>
      <c r="E6" s="17" t="s">
        <v>421</v>
      </c>
      <c r="F6" s="22"/>
      <c r="G6" s="17"/>
      <c r="H6" s="17" t="s">
        <v>422</v>
      </c>
      <c r="I6" s="18"/>
      <c r="J6" s="21">
        <v>45732</v>
      </c>
      <c r="K6" s="17" t="s">
        <v>423</v>
      </c>
      <c r="L6" s="17" t="s">
        <v>411</v>
      </c>
      <c r="N6" t="s">
        <v>477</v>
      </c>
    </row>
    <row r="7" spans="1:14" ht="18" customHeight="1" x14ac:dyDescent="0.2">
      <c r="A7" s="16" t="s">
        <v>428</v>
      </c>
      <c r="B7" s="16" t="s">
        <v>412</v>
      </c>
      <c r="C7" s="17" t="s">
        <v>10</v>
      </c>
      <c r="D7" s="17" t="s">
        <v>450</v>
      </c>
      <c r="E7" s="17" t="s">
        <v>424</v>
      </c>
      <c r="F7" s="22"/>
      <c r="G7" s="17"/>
      <c r="H7" s="17" t="s">
        <v>426</v>
      </c>
      <c r="I7" s="18"/>
      <c r="J7" s="21">
        <v>45732</v>
      </c>
      <c r="K7" s="17" t="s">
        <v>423</v>
      </c>
      <c r="L7" s="17" t="s">
        <v>411</v>
      </c>
      <c r="N7" t="s">
        <v>477</v>
      </c>
    </row>
    <row r="8" spans="1:14" ht="18" customHeight="1" x14ac:dyDescent="0.2">
      <c r="A8" s="16" t="s">
        <v>428</v>
      </c>
      <c r="B8" s="16" t="s">
        <v>412</v>
      </c>
      <c r="C8" s="17" t="s">
        <v>12</v>
      </c>
      <c r="D8" s="17" t="s">
        <v>450</v>
      </c>
      <c r="E8" s="17" t="s">
        <v>455</v>
      </c>
      <c r="F8" s="22"/>
      <c r="G8" s="17"/>
      <c r="H8" s="17" t="s">
        <v>427</v>
      </c>
      <c r="I8" s="18"/>
      <c r="J8" s="21">
        <v>45752</v>
      </c>
      <c r="K8" s="17" t="s">
        <v>94</v>
      </c>
      <c r="L8" s="20" t="s">
        <v>131</v>
      </c>
      <c r="N8" t="s">
        <v>477</v>
      </c>
    </row>
    <row r="9" spans="1:14" ht="18" customHeight="1" x14ac:dyDescent="0.2">
      <c r="A9" s="16" t="s">
        <v>428</v>
      </c>
      <c r="B9" s="16" t="s">
        <v>412</v>
      </c>
      <c r="C9" s="17" t="s">
        <v>14</v>
      </c>
      <c r="D9" s="17" t="s">
        <v>450</v>
      </c>
      <c r="E9" s="17" t="s">
        <v>456</v>
      </c>
      <c r="F9" s="22"/>
      <c r="G9" s="17"/>
      <c r="H9" s="17" t="s">
        <v>458</v>
      </c>
      <c r="I9" s="18"/>
      <c r="J9" s="21">
        <v>45752</v>
      </c>
      <c r="K9" s="17" t="s">
        <v>94</v>
      </c>
      <c r="L9" s="20" t="s">
        <v>131</v>
      </c>
      <c r="N9" t="s">
        <v>477</v>
      </c>
    </row>
    <row r="10" spans="1:14" ht="18" customHeight="1" x14ac:dyDescent="0.2">
      <c r="A10" s="40" t="s">
        <v>428</v>
      </c>
      <c r="B10" s="40" t="s">
        <v>412</v>
      </c>
      <c r="C10" s="41" t="s">
        <v>16</v>
      </c>
      <c r="D10" s="41" t="s">
        <v>450</v>
      </c>
      <c r="E10" s="41" t="s">
        <v>457</v>
      </c>
      <c r="F10" s="22"/>
      <c r="G10" s="41"/>
      <c r="H10" s="41" t="s">
        <v>459</v>
      </c>
      <c r="I10" s="42">
        <v>12320</v>
      </c>
      <c r="J10" s="42">
        <v>45752</v>
      </c>
      <c r="K10" s="41" t="s">
        <v>94</v>
      </c>
      <c r="L10" s="41" t="s">
        <v>460</v>
      </c>
      <c r="M10" s="43"/>
      <c r="N10" s="41"/>
    </row>
    <row r="11" spans="1:14" ht="18" customHeight="1" x14ac:dyDescent="0.2">
      <c r="A11" s="16" t="s">
        <v>464</v>
      </c>
      <c r="B11" s="16" t="s">
        <v>412</v>
      </c>
      <c r="C11" s="20" t="s">
        <v>119</v>
      </c>
      <c r="D11" s="17" t="s">
        <v>450</v>
      </c>
      <c r="E11" s="20" t="s">
        <v>462</v>
      </c>
      <c r="F11" s="5"/>
      <c r="G11" s="20"/>
      <c r="H11" s="20" t="s">
        <v>463</v>
      </c>
      <c r="I11" s="36"/>
      <c r="J11" s="35">
        <v>45752</v>
      </c>
      <c r="K11" s="20" t="s">
        <v>94</v>
      </c>
      <c r="L11" s="20" t="s">
        <v>131</v>
      </c>
      <c r="M11"/>
      <c r="N11" t="s">
        <v>477</v>
      </c>
    </row>
    <row r="12" spans="1:14" ht="18" customHeight="1" x14ac:dyDescent="0.2">
      <c r="A12" s="16" t="s">
        <v>428</v>
      </c>
      <c r="B12" s="16" t="s">
        <v>106</v>
      </c>
      <c r="C12" s="17" t="s">
        <v>13</v>
      </c>
      <c r="D12" s="17" t="s">
        <v>450</v>
      </c>
      <c r="E12" s="17" t="s">
        <v>474</v>
      </c>
      <c r="G12" s="17"/>
      <c r="H12" s="17" t="s">
        <v>475</v>
      </c>
      <c r="I12" s="21"/>
      <c r="J12" s="21">
        <v>45753</v>
      </c>
      <c r="K12" s="17" t="s">
        <v>60</v>
      </c>
      <c r="L12" s="17" t="s">
        <v>298</v>
      </c>
      <c r="M12" s="12">
        <f>DATEDIF(I12,J12,"Y")</f>
        <v>125</v>
      </c>
      <c r="N12" t="s">
        <v>476</v>
      </c>
    </row>
    <row r="13" spans="1:14" ht="18" customHeight="1" x14ac:dyDescent="0.2">
      <c r="A13" s="37" t="s">
        <v>464</v>
      </c>
      <c r="B13" s="37" t="s">
        <v>430</v>
      </c>
      <c r="C13" s="38" t="s">
        <v>121</v>
      </c>
      <c r="D13" s="27" t="s">
        <v>450</v>
      </c>
      <c r="E13" s="38" t="s">
        <v>478</v>
      </c>
      <c r="F13" s="1"/>
      <c r="G13" s="38"/>
      <c r="H13" s="38" t="s">
        <v>479</v>
      </c>
      <c r="I13" s="39">
        <v>23863</v>
      </c>
      <c r="J13" s="39">
        <v>45752</v>
      </c>
      <c r="K13" s="38" t="s">
        <v>94</v>
      </c>
      <c r="L13" s="38" t="s">
        <v>131</v>
      </c>
      <c r="M13" s="12">
        <f>DATEDIF(I13,J13,"Y")</f>
        <v>59</v>
      </c>
      <c r="N13" s="17" t="s">
        <v>488</v>
      </c>
    </row>
  </sheetData>
  <autoFilter ref="A2:N11" xr:uid="{00000000-0001-0000-0000-000000000000}"/>
  <mergeCells count="1">
    <mergeCell ref="C1:L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76A9-5073-A04F-8AC7-3C3DCEE66F07}">
  <dimension ref="A1:Q76"/>
  <sheetViews>
    <sheetView topLeftCell="A49" zoomScale="130" zoomScaleNormal="130" workbookViewId="0">
      <selection activeCell="A76" sqref="A76:O76"/>
    </sheetView>
  </sheetViews>
  <sheetFormatPr baseColWidth="10" defaultColWidth="10.83203125" defaultRowHeight="15" x14ac:dyDescent="0.2"/>
  <cols>
    <col min="2" max="2" width="13.5" bestFit="1" customWidth="1"/>
    <col min="8" max="8" width="38.6640625" bestFit="1" customWidth="1"/>
    <col min="9" max="9" width="44.5" customWidth="1"/>
    <col min="10" max="11" width="11.6640625" customWidth="1"/>
    <col min="12" max="12" width="31" customWidth="1"/>
    <col min="13" max="13" width="26" customWidth="1"/>
    <col min="14" max="14" width="14.5" style="29" bestFit="1" customWidth="1"/>
  </cols>
  <sheetData>
    <row r="1" spans="1:15" ht="19" x14ac:dyDescent="0.25">
      <c r="A1" s="110" t="s">
        <v>452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5" x14ac:dyDescent="0.2">
      <c r="F2" s="2" t="s">
        <v>1</v>
      </c>
      <c r="G2" s="2"/>
      <c r="H2" s="2"/>
      <c r="I2" s="2" t="s">
        <v>2</v>
      </c>
      <c r="J2" s="2" t="s">
        <v>3</v>
      </c>
      <c r="K2" s="2" t="s">
        <v>4</v>
      </c>
      <c r="L2" s="2" t="s">
        <v>8</v>
      </c>
      <c r="M2" s="2" t="s">
        <v>7</v>
      </c>
      <c r="N2" s="28" t="s">
        <v>453</v>
      </c>
    </row>
    <row r="3" spans="1:15" x14ac:dyDescent="0.2">
      <c r="A3" s="9" t="s">
        <v>428</v>
      </c>
      <c r="B3" s="3" t="s">
        <v>81</v>
      </c>
      <c r="C3" t="s">
        <v>9</v>
      </c>
      <c r="F3" t="s">
        <v>88</v>
      </c>
      <c r="I3" t="s">
        <v>89</v>
      </c>
      <c r="J3" s="13">
        <v>23743</v>
      </c>
      <c r="K3" s="12">
        <v>2015</v>
      </c>
      <c r="L3" t="s">
        <v>64</v>
      </c>
      <c r="N3" s="29">
        <v>45738</v>
      </c>
    </row>
    <row r="4" spans="1:15" x14ac:dyDescent="0.2">
      <c r="A4" s="9" t="s">
        <v>428</v>
      </c>
      <c r="B4" s="3" t="s">
        <v>100</v>
      </c>
      <c r="C4" t="s">
        <v>11</v>
      </c>
      <c r="F4" t="s">
        <v>104</v>
      </c>
      <c r="I4" t="s">
        <v>105</v>
      </c>
      <c r="J4" s="12">
        <v>1936</v>
      </c>
      <c r="K4" s="12">
        <v>1996</v>
      </c>
      <c r="L4" t="s">
        <v>32</v>
      </c>
      <c r="N4" s="29">
        <v>45725</v>
      </c>
    </row>
    <row r="5" spans="1:15" x14ac:dyDescent="0.2">
      <c r="A5" s="9" t="s">
        <v>428</v>
      </c>
      <c r="B5" s="6" t="s">
        <v>126</v>
      </c>
      <c r="C5" s="7" t="s">
        <v>179</v>
      </c>
      <c r="D5" s="7"/>
      <c r="E5" s="7"/>
      <c r="F5" s="7" t="s">
        <v>401</v>
      </c>
      <c r="G5" s="7"/>
      <c r="H5" s="7"/>
      <c r="I5" s="7" t="s">
        <v>402</v>
      </c>
      <c r="J5" s="14">
        <v>16283</v>
      </c>
      <c r="K5" s="15">
        <v>45563</v>
      </c>
      <c r="L5" s="1" t="s">
        <v>398</v>
      </c>
      <c r="M5" s="1" t="s">
        <v>15</v>
      </c>
      <c r="N5" s="29">
        <v>45732</v>
      </c>
    </row>
    <row r="6" spans="1:15" x14ac:dyDescent="0.2">
      <c r="A6" s="16" t="s">
        <v>428</v>
      </c>
      <c r="B6" s="16" t="s">
        <v>412</v>
      </c>
      <c r="C6" s="17" t="s">
        <v>12</v>
      </c>
      <c r="D6" s="17"/>
      <c r="E6" s="17"/>
      <c r="F6" s="17" t="s">
        <v>425</v>
      </c>
      <c r="G6" s="17"/>
      <c r="H6" s="17"/>
      <c r="I6" s="17" t="s">
        <v>427</v>
      </c>
      <c r="J6" s="17"/>
      <c r="K6" s="21">
        <v>45732</v>
      </c>
      <c r="L6" s="17" t="s">
        <v>423</v>
      </c>
      <c r="M6" s="17" t="s">
        <v>411</v>
      </c>
      <c r="N6" s="29">
        <v>45752</v>
      </c>
    </row>
    <row r="7" spans="1:15" x14ac:dyDescent="0.2">
      <c r="A7" s="9" t="s">
        <v>428</v>
      </c>
      <c r="B7" s="9" t="s">
        <v>436</v>
      </c>
      <c r="C7" t="s">
        <v>13</v>
      </c>
      <c r="F7" t="s">
        <v>99</v>
      </c>
      <c r="I7" t="s">
        <v>155</v>
      </c>
      <c r="J7" s="10">
        <v>16942</v>
      </c>
      <c r="K7" s="10">
        <v>42644</v>
      </c>
      <c r="L7" t="s">
        <v>95</v>
      </c>
      <c r="M7" t="s">
        <v>96</v>
      </c>
      <c r="N7" s="29">
        <v>45752</v>
      </c>
    </row>
    <row r="8" spans="1:15" x14ac:dyDescent="0.2">
      <c r="A8" s="9" t="s">
        <v>428</v>
      </c>
      <c r="B8" s="9" t="s">
        <v>106</v>
      </c>
      <c r="C8" t="s">
        <v>11</v>
      </c>
      <c r="E8" t="s">
        <v>450</v>
      </c>
      <c r="F8" t="s">
        <v>144</v>
      </c>
      <c r="I8" t="s">
        <v>145</v>
      </c>
      <c r="J8" s="10">
        <v>13268</v>
      </c>
      <c r="K8" s="10">
        <v>35638</v>
      </c>
      <c r="L8" t="s">
        <v>109</v>
      </c>
      <c r="M8" t="s">
        <v>53</v>
      </c>
      <c r="N8" s="29">
        <v>45752</v>
      </c>
    </row>
    <row r="9" spans="1:15" x14ac:dyDescent="0.2">
      <c r="A9" s="16" t="s">
        <v>428</v>
      </c>
      <c r="B9" s="16" t="s">
        <v>100</v>
      </c>
      <c r="C9" s="17" t="s">
        <v>12</v>
      </c>
      <c r="D9" s="17"/>
      <c r="E9" s="17" t="s">
        <v>450</v>
      </c>
      <c r="F9" s="17" t="s">
        <v>345</v>
      </c>
      <c r="G9" s="17"/>
      <c r="H9" s="17"/>
      <c r="I9" s="17" t="s">
        <v>346</v>
      </c>
      <c r="J9" s="18">
        <v>1956</v>
      </c>
      <c r="K9" s="19">
        <v>45214</v>
      </c>
      <c r="L9" s="20" t="s">
        <v>60</v>
      </c>
      <c r="M9" s="20" t="s">
        <v>347</v>
      </c>
      <c r="N9" s="29">
        <v>45753</v>
      </c>
    </row>
    <row r="10" spans="1:15" x14ac:dyDescent="0.2">
      <c r="A10" s="9" t="s">
        <v>428</v>
      </c>
      <c r="B10" s="9" t="s">
        <v>106</v>
      </c>
      <c r="C10" t="s">
        <v>12</v>
      </c>
      <c r="E10" t="s">
        <v>450</v>
      </c>
      <c r="F10" t="s">
        <v>325</v>
      </c>
      <c r="I10" t="s">
        <v>326</v>
      </c>
      <c r="J10" s="10">
        <v>20831</v>
      </c>
      <c r="K10" s="10">
        <v>44878</v>
      </c>
      <c r="L10" t="s">
        <v>32</v>
      </c>
      <c r="M10" t="s">
        <v>319</v>
      </c>
    </row>
    <row r="11" spans="1:15" x14ac:dyDescent="0.2">
      <c r="A11" s="30" t="s">
        <v>464</v>
      </c>
      <c r="B11" s="30" t="s">
        <v>106</v>
      </c>
      <c r="C11" s="32" t="s">
        <v>120</v>
      </c>
      <c r="D11" s="32"/>
      <c r="E11" s="31" t="s">
        <v>450</v>
      </c>
      <c r="F11" s="32" t="s">
        <v>410</v>
      </c>
      <c r="G11" s="32"/>
      <c r="H11" s="32"/>
      <c r="I11" s="32" t="s">
        <v>371</v>
      </c>
      <c r="J11" s="33">
        <v>25332</v>
      </c>
      <c r="K11" s="34">
        <v>45606</v>
      </c>
      <c r="L11" s="32" t="s">
        <v>32</v>
      </c>
      <c r="M11" s="32" t="s">
        <v>319</v>
      </c>
    </row>
    <row r="12" spans="1:15" x14ac:dyDescent="0.2">
      <c r="A12" s="30" t="s">
        <v>464</v>
      </c>
      <c r="B12" s="30" t="s">
        <v>106</v>
      </c>
      <c r="C12" s="32" t="s">
        <v>122</v>
      </c>
      <c r="D12" s="32"/>
      <c r="E12" s="31" t="s">
        <v>450</v>
      </c>
      <c r="F12" s="32" t="s">
        <v>404</v>
      </c>
      <c r="G12" s="32"/>
      <c r="H12" s="32"/>
      <c r="I12" s="32" t="s">
        <v>288</v>
      </c>
      <c r="J12" s="33">
        <v>19869</v>
      </c>
      <c r="K12" s="34">
        <v>45606</v>
      </c>
      <c r="L12" s="32" t="s">
        <v>32</v>
      </c>
      <c r="M12" s="32" t="s">
        <v>319</v>
      </c>
    </row>
    <row r="13" spans="1:15" x14ac:dyDescent="0.2">
      <c r="A13" s="9" t="s">
        <v>428</v>
      </c>
      <c r="B13" s="9" t="s">
        <v>433</v>
      </c>
      <c r="C13" t="s">
        <v>13</v>
      </c>
      <c r="E13" t="s">
        <v>450</v>
      </c>
      <c r="F13" t="s">
        <v>76</v>
      </c>
      <c r="I13" t="s">
        <v>59</v>
      </c>
      <c r="J13" s="10">
        <v>16073</v>
      </c>
      <c r="K13" s="11">
        <v>2016</v>
      </c>
      <c r="L13" t="s">
        <v>71</v>
      </c>
      <c r="M13" t="s">
        <v>53</v>
      </c>
    </row>
    <row r="14" spans="1:15" x14ac:dyDescent="0.2">
      <c r="A14" s="9" t="s">
        <v>428</v>
      </c>
      <c r="B14" s="9" t="s">
        <v>431</v>
      </c>
      <c r="C14" t="s">
        <v>10</v>
      </c>
      <c r="E14" t="s">
        <v>450</v>
      </c>
      <c r="F14" t="s">
        <v>384</v>
      </c>
      <c r="I14" t="s">
        <v>30</v>
      </c>
      <c r="J14" s="10">
        <v>25005</v>
      </c>
      <c r="K14" s="10">
        <v>45479</v>
      </c>
      <c r="L14" t="s">
        <v>366</v>
      </c>
      <c r="M14" t="s">
        <v>31</v>
      </c>
      <c r="N14" s="12"/>
    </row>
    <row r="15" spans="1:15" x14ac:dyDescent="0.2">
      <c r="A15" s="9" t="s">
        <v>428</v>
      </c>
      <c r="B15" s="9" t="s">
        <v>435</v>
      </c>
      <c r="C15" t="s">
        <v>13</v>
      </c>
      <c r="E15" t="s">
        <v>450</v>
      </c>
      <c r="F15" t="s">
        <v>289</v>
      </c>
      <c r="I15" t="s">
        <v>70</v>
      </c>
      <c r="J15" s="10">
        <v>5706</v>
      </c>
      <c r="K15" s="11">
        <v>1986</v>
      </c>
      <c r="L15" t="s">
        <v>290</v>
      </c>
      <c r="M15" t="s">
        <v>48</v>
      </c>
      <c r="N15" s="12"/>
    </row>
    <row r="16" spans="1:15" x14ac:dyDescent="0.2">
      <c r="A16" s="9" t="s">
        <v>428</v>
      </c>
      <c r="B16" s="9" t="s">
        <v>440</v>
      </c>
      <c r="C16" t="s">
        <v>11</v>
      </c>
      <c r="E16" t="s">
        <v>450</v>
      </c>
      <c r="F16" t="s">
        <v>159</v>
      </c>
      <c r="I16" t="s">
        <v>113</v>
      </c>
      <c r="J16" s="10">
        <v>19769</v>
      </c>
      <c r="K16" s="11">
        <v>2014</v>
      </c>
      <c r="L16" t="s">
        <v>40</v>
      </c>
      <c r="M16" s="1"/>
      <c r="O16" s="12"/>
    </row>
    <row r="17" spans="1:17" x14ac:dyDescent="0.2">
      <c r="A17" s="9" t="s">
        <v>464</v>
      </c>
      <c r="B17" s="9" t="s">
        <v>441</v>
      </c>
      <c r="C17" s="1" t="s">
        <v>118</v>
      </c>
      <c r="D17" s="1"/>
      <c r="E17" t="s">
        <v>450</v>
      </c>
      <c r="F17" s="4" t="s">
        <v>159</v>
      </c>
      <c r="G17" s="4"/>
      <c r="H17" s="4"/>
      <c r="I17" s="4" t="s">
        <v>250</v>
      </c>
      <c r="J17" s="15">
        <v>26970</v>
      </c>
      <c r="K17" s="23">
        <v>2016</v>
      </c>
      <c r="L17" s="4" t="s">
        <v>46</v>
      </c>
      <c r="M17" s="4" t="s">
        <v>31</v>
      </c>
    </row>
    <row r="18" spans="1:17" x14ac:dyDescent="0.2">
      <c r="A18" s="9" t="s">
        <v>464</v>
      </c>
      <c r="B18" s="9" t="s">
        <v>435</v>
      </c>
      <c r="C18" s="1" t="s">
        <v>120</v>
      </c>
      <c r="D18" s="1"/>
      <c r="E18" t="s">
        <v>450</v>
      </c>
      <c r="F18" s="1" t="s">
        <v>392</v>
      </c>
      <c r="G18" s="1"/>
      <c r="H18" s="1"/>
      <c r="I18" s="1" t="s">
        <v>287</v>
      </c>
      <c r="J18" s="15">
        <v>25334</v>
      </c>
      <c r="K18" s="15">
        <v>45518</v>
      </c>
      <c r="L18" s="1" t="s">
        <v>391</v>
      </c>
      <c r="M18" s="1" t="s">
        <v>53</v>
      </c>
    </row>
    <row r="19" spans="1:17" x14ac:dyDescent="0.2">
      <c r="A19" s="9" t="s">
        <v>428</v>
      </c>
      <c r="B19" s="9" t="s">
        <v>433</v>
      </c>
      <c r="C19" s="12" t="s">
        <v>502</v>
      </c>
      <c r="D19" s="12"/>
      <c r="E19" s="11" t="s">
        <v>450</v>
      </c>
      <c r="F19" s="51" t="s">
        <v>480</v>
      </c>
      <c r="G19" s="51"/>
      <c r="I19" t="s">
        <v>90</v>
      </c>
      <c r="J19" s="10">
        <v>20038</v>
      </c>
      <c r="K19" s="10">
        <v>45780</v>
      </c>
      <c r="L19" t="s">
        <v>481</v>
      </c>
      <c r="M19" t="s">
        <v>31</v>
      </c>
      <c r="P19" s="12"/>
    </row>
    <row r="20" spans="1:17" x14ac:dyDescent="0.2">
      <c r="A20" s="40" t="s">
        <v>428</v>
      </c>
      <c r="B20" s="40" t="s">
        <v>435</v>
      </c>
      <c r="C20" s="43" t="s">
        <v>502</v>
      </c>
      <c r="D20" s="43"/>
      <c r="E20" s="49" t="s">
        <v>450</v>
      </c>
      <c r="F20" s="52" t="s">
        <v>484</v>
      </c>
      <c r="G20" s="52"/>
      <c r="I20" s="41" t="s">
        <v>461</v>
      </c>
      <c r="J20" s="42">
        <v>20038</v>
      </c>
      <c r="K20" s="42">
        <v>45781</v>
      </c>
      <c r="L20" s="41" t="s">
        <v>481</v>
      </c>
      <c r="M20" s="41" t="s">
        <v>31</v>
      </c>
      <c r="N20" s="29">
        <v>45809</v>
      </c>
      <c r="P20" s="43"/>
      <c r="Q20" s="41"/>
    </row>
    <row r="21" spans="1:17" x14ac:dyDescent="0.2">
      <c r="A21" s="9" t="s">
        <v>464</v>
      </c>
      <c r="B21" t="s">
        <v>134</v>
      </c>
      <c r="C21" s="23" t="s">
        <v>503</v>
      </c>
      <c r="D21" s="23"/>
      <c r="E21" s="11" t="s">
        <v>450</v>
      </c>
      <c r="F21" s="55" t="s">
        <v>487</v>
      </c>
      <c r="G21" s="55"/>
      <c r="H21" s="1"/>
      <c r="I21" s="1" t="s">
        <v>332</v>
      </c>
      <c r="J21" s="15">
        <v>17624</v>
      </c>
      <c r="K21" s="15">
        <v>45780</v>
      </c>
      <c r="L21" s="1" t="s">
        <v>481</v>
      </c>
      <c r="M21" s="1" t="s">
        <v>31</v>
      </c>
      <c r="N21" s="29">
        <v>45809</v>
      </c>
    </row>
    <row r="22" spans="1:17" x14ac:dyDescent="0.2">
      <c r="A22" s="9" t="s">
        <v>464</v>
      </c>
      <c r="B22" t="s">
        <v>126</v>
      </c>
      <c r="C22" s="23" t="s">
        <v>498</v>
      </c>
      <c r="D22" s="23"/>
      <c r="E22" s="11" t="s">
        <v>450</v>
      </c>
      <c r="F22" s="55" t="s">
        <v>317</v>
      </c>
      <c r="G22" s="55"/>
      <c r="H22" s="1"/>
      <c r="I22" s="1" t="s">
        <v>286</v>
      </c>
      <c r="J22" s="15">
        <v>25746</v>
      </c>
      <c r="K22" s="15">
        <v>44808</v>
      </c>
      <c r="L22" s="1" t="s">
        <v>32</v>
      </c>
      <c r="M22" s="1" t="s">
        <v>316</v>
      </c>
      <c r="N22"/>
    </row>
    <row r="23" spans="1:17" x14ac:dyDescent="0.2">
      <c r="A23" s="9" t="s">
        <v>464</v>
      </c>
      <c r="B23" t="s">
        <v>170</v>
      </c>
      <c r="C23" s="23" t="s">
        <v>498</v>
      </c>
      <c r="D23" s="23"/>
      <c r="E23" s="11" t="s">
        <v>450</v>
      </c>
      <c r="F23" s="55" t="s">
        <v>255</v>
      </c>
      <c r="G23" s="55"/>
      <c r="H23" s="4"/>
      <c r="I23" s="4" t="s">
        <v>258</v>
      </c>
      <c r="J23" s="23">
        <v>1954</v>
      </c>
      <c r="K23" s="23">
        <v>2007</v>
      </c>
      <c r="L23" s="4" t="s">
        <v>32</v>
      </c>
      <c r="O23" s="4"/>
    </row>
    <row r="24" spans="1:17" x14ac:dyDescent="0.2">
      <c r="A24" s="9" t="s">
        <v>428</v>
      </c>
      <c r="B24" s="9" t="s">
        <v>161</v>
      </c>
      <c r="C24" s="12" t="s">
        <v>504</v>
      </c>
      <c r="D24" s="12"/>
      <c r="E24" s="11" t="s">
        <v>450</v>
      </c>
      <c r="F24" s="51" t="s">
        <v>162</v>
      </c>
      <c r="G24" s="51"/>
      <c r="I24" t="s">
        <v>110</v>
      </c>
      <c r="J24" s="10">
        <v>13492</v>
      </c>
      <c r="K24" s="53">
        <v>43001</v>
      </c>
      <c r="L24" s="1" t="s">
        <v>44</v>
      </c>
      <c r="M24" t="s">
        <v>15</v>
      </c>
    </row>
    <row r="25" spans="1:17" x14ac:dyDescent="0.2">
      <c r="A25" s="66" t="s">
        <v>428</v>
      </c>
      <c r="B25" s="66" t="s">
        <v>444</v>
      </c>
      <c r="C25" s="68" t="s">
        <v>498</v>
      </c>
      <c r="D25" s="68"/>
      <c r="E25" s="67" t="s">
        <v>450</v>
      </c>
      <c r="F25" s="69">
        <v>3230</v>
      </c>
      <c r="G25" s="69"/>
      <c r="H25" s="70" t="s">
        <v>375</v>
      </c>
      <c r="I25" s="70" t="s">
        <v>136</v>
      </c>
      <c r="J25" s="71">
        <v>25792</v>
      </c>
      <c r="K25" s="71">
        <v>45444</v>
      </c>
      <c r="L25" s="70" t="s">
        <v>19</v>
      </c>
      <c r="M25" s="70" t="s">
        <v>283</v>
      </c>
      <c r="P25" s="68"/>
    </row>
    <row r="26" spans="1:17" x14ac:dyDescent="0.2">
      <c r="A26" s="66" t="s">
        <v>428</v>
      </c>
      <c r="B26" s="66" t="s">
        <v>444</v>
      </c>
      <c r="C26" s="68" t="s">
        <v>499</v>
      </c>
      <c r="D26" s="68"/>
      <c r="E26" s="67" t="s">
        <v>450</v>
      </c>
      <c r="F26" s="69">
        <v>2789</v>
      </c>
      <c r="G26" s="69"/>
      <c r="H26" s="70" t="s">
        <v>333</v>
      </c>
      <c r="I26" s="70" t="s">
        <v>196</v>
      </c>
      <c r="J26" s="71">
        <v>24705</v>
      </c>
      <c r="K26" s="71">
        <v>45116</v>
      </c>
      <c r="L26" s="70" t="s">
        <v>19</v>
      </c>
      <c r="M26" s="70" t="s">
        <v>31</v>
      </c>
      <c r="P26" s="68"/>
    </row>
    <row r="27" spans="1:17" x14ac:dyDescent="0.2">
      <c r="A27" s="9" t="s">
        <v>428</v>
      </c>
      <c r="B27" s="9" t="s">
        <v>430</v>
      </c>
      <c r="C27" s="12" t="s">
        <v>497</v>
      </c>
      <c r="D27" s="12"/>
      <c r="E27" s="11" t="s">
        <v>451</v>
      </c>
      <c r="F27" s="51" t="s">
        <v>29</v>
      </c>
      <c r="G27" s="51"/>
      <c r="H27" s="11" t="s">
        <v>28</v>
      </c>
      <c r="I27" t="s">
        <v>26</v>
      </c>
      <c r="J27" s="10">
        <v>25419</v>
      </c>
      <c r="K27" s="10">
        <v>41901</v>
      </c>
      <c r="L27" t="s">
        <v>27</v>
      </c>
      <c r="M27" t="s">
        <v>15</v>
      </c>
      <c r="N27" s="29">
        <v>45809</v>
      </c>
      <c r="P27" s="12"/>
    </row>
    <row r="28" spans="1:17" x14ac:dyDescent="0.2">
      <c r="A28" s="9" t="s">
        <v>428</v>
      </c>
      <c r="B28" s="9" t="s">
        <v>429</v>
      </c>
      <c r="C28" s="12" t="s">
        <v>497</v>
      </c>
      <c r="D28" s="12"/>
      <c r="E28" s="11" t="s">
        <v>450</v>
      </c>
      <c r="F28" s="51" t="s">
        <v>337</v>
      </c>
      <c r="G28" s="51"/>
      <c r="H28" s="11" t="s">
        <v>338</v>
      </c>
      <c r="I28" t="s">
        <v>51</v>
      </c>
      <c r="J28" s="10">
        <v>28389</v>
      </c>
      <c r="K28" s="10">
        <v>45174</v>
      </c>
      <c r="L28" t="s">
        <v>339</v>
      </c>
      <c r="M28" t="s">
        <v>330</v>
      </c>
      <c r="N28" s="29">
        <v>45808</v>
      </c>
    </row>
    <row r="29" spans="1:17" x14ac:dyDescent="0.2">
      <c r="A29" s="9" t="s">
        <v>464</v>
      </c>
      <c r="B29" s="9" t="s">
        <v>434</v>
      </c>
      <c r="C29" s="23" t="s">
        <v>498</v>
      </c>
      <c r="D29" s="23"/>
      <c r="E29" s="11" t="s">
        <v>450</v>
      </c>
      <c r="F29" s="55" t="s">
        <v>295</v>
      </c>
      <c r="G29" s="55"/>
      <c r="H29" s="1"/>
      <c r="I29" s="1" t="s">
        <v>287</v>
      </c>
      <c r="J29" s="15">
        <v>25334</v>
      </c>
      <c r="K29" s="15">
        <v>44359</v>
      </c>
      <c r="L29" s="1" t="s">
        <v>278</v>
      </c>
      <c r="M29" s="1" t="s">
        <v>279</v>
      </c>
      <c r="N29" s="29">
        <v>45809</v>
      </c>
    </row>
    <row r="30" spans="1:17" x14ac:dyDescent="0.2">
      <c r="A30" s="9" t="s">
        <v>428</v>
      </c>
      <c r="B30" s="9" t="s">
        <v>431</v>
      </c>
      <c r="C30" s="12" t="s">
        <v>499</v>
      </c>
      <c r="D30" s="9"/>
      <c r="E30" s="11" t="s">
        <v>450</v>
      </c>
      <c r="F30" s="51" t="s">
        <v>482</v>
      </c>
      <c r="H30" s="11"/>
      <c r="I30" t="s">
        <v>483</v>
      </c>
      <c r="J30" s="10">
        <v>25478</v>
      </c>
      <c r="K30" s="10">
        <v>45780</v>
      </c>
      <c r="L30" t="s">
        <v>481</v>
      </c>
      <c r="M30" t="s">
        <v>31</v>
      </c>
      <c r="N30" s="29">
        <v>45815</v>
      </c>
    </row>
    <row r="31" spans="1:17" x14ac:dyDescent="0.2">
      <c r="A31" s="9" t="s">
        <v>464</v>
      </c>
      <c r="B31" s="9" t="s">
        <v>431</v>
      </c>
      <c r="C31" s="23" t="s">
        <v>499</v>
      </c>
      <c r="D31" s="9"/>
      <c r="E31" s="11" t="s">
        <v>450</v>
      </c>
      <c r="F31" s="55" t="s">
        <v>218</v>
      </c>
      <c r="G31" s="1"/>
      <c r="H31" s="56"/>
      <c r="I31" s="1" t="s">
        <v>219</v>
      </c>
      <c r="J31" s="23"/>
      <c r="K31" s="23">
        <v>2008</v>
      </c>
      <c r="L31" s="1" t="s">
        <v>220</v>
      </c>
      <c r="M31" s="1" t="s">
        <v>15</v>
      </c>
      <c r="N31" s="29">
        <v>45815</v>
      </c>
    </row>
    <row r="32" spans="1:17" x14ac:dyDescent="0.2">
      <c r="A32" s="9" t="s">
        <v>464</v>
      </c>
      <c r="B32" s="9" t="s">
        <v>434</v>
      </c>
      <c r="C32" s="23" t="s">
        <v>499</v>
      </c>
      <c r="D32" s="9"/>
      <c r="E32" s="11" t="s">
        <v>450</v>
      </c>
      <c r="F32" s="55" t="s">
        <v>397</v>
      </c>
      <c r="G32" s="1"/>
      <c r="H32" s="56"/>
      <c r="I32" s="1" t="s">
        <v>287</v>
      </c>
      <c r="J32" s="15">
        <v>25334</v>
      </c>
      <c r="K32" s="15">
        <v>45564</v>
      </c>
      <c r="L32" s="1" t="s">
        <v>398</v>
      </c>
      <c r="M32" s="1" t="s">
        <v>15</v>
      </c>
      <c r="N32" s="29">
        <v>45815</v>
      </c>
    </row>
    <row r="33" spans="1:14" x14ac:dyDescent="0.2">
      <c r="A33" s="9" t="s">
        <v>464</v>
      </c>
      <c r="B33" s="9" t="s">
        <v>432</v>
      </c>
      <c r="C33" s="23" t="s">
        <v>499</v>
      </c>
      <c r="D33" s="9"/>
      <c r="E33" s="11" t="s">
        <v>450</v>
      </c>
      <c r="F33" s="55" t="s">
        <v>394</v>
      </c>
      <c r="G33" s="1"/>
      <c r="H33" s="56"/>
      <c r="I33" t="s">
        <v>386</v>
      </c>
      <c r="J33" s="13">
        <v>25099</v>
      </c>
      <c r="K33" s="13">
        <v>45519</v>
      </c>
      <c r="L33" s="1" t="s">
        <v>391</v>
      </c>
      <c r="M33" s="1" t="s">
        <v>53</v>
      </c>
      <c r="N33"/>
    </row>
    <row r="34" spans="1:14" x14ac:dyDescent="0.2">
      <c r="A34" s="9" t="s">
        <v>428</v>
      </c>
      <c r="B34" s="9" t="s">
        <v>434</v>
      </c>
      <c r="C34" s="12" t="s">
        <v>502</v>
      </c>
      <c r="D34" s="9"/>
      <c r="E34" s="11" t="s">
        <v>450</v>
      </c>
      <c r="F34" s="51" t="s">
        <v>83</v>
      </c>
      <c r="H34" s="11"/>
      <c r="I34" t="s">
        <v>84</v>
      </c>
      <c r="J34" s="10">
        <v>16742</v>
      </c>
      <c r="K34" s="10">
        <v>43597</v>
      </c>
      <c r="L34" t="s">
        <v>36</v>
      </c>
      <c r="M34" t="s">
        <v>37</v>
      </c>
      <c r="N34" s="12"/>
    </row>
    <row r="35" spans="1:14" x14ac:dyDescent="0.2">
      <c r="A35" s="9" t="s">
        <v>428</v>
      </c>
      <c r="B35" s="9" t="s">
        <v>429</v>
      </c>
      <c r="C35" s="12" t="s">
        <v>496</v>
      </c>
      <c r="D35" s="9"/>
      <c r="E35" s="11" t="s">
        <v>450</v>
      </c>
      <c r="F35" s="51" t="s">
        <v>20</v>
      </c>
      <c r="H35" s="11" t="s">
        <v>21</v>
      </c>
      <c r="I35" t="s">
        <v>6</v>
      </c>
      <c r="J35" s="10">
        <v>28150</v>
      </c>
      <c r="K35" s="10">
        <v>43260</v>
      </c>
      <c r="L35" t="s">
        <v>22</v>
      </c>
      <c r="M35" t="s">
        <v>23</v>
      </c>
      <c r="N35" s="12"/>
    </row>
    <row r="36" spans="1:14" x14ac:dyDescent="0.2">
      <c r="A36" s="9" t="s">
        <v>428</v>
      </c>
      <c r="B36" s="9" t="s">
        <v>431</v>
      </c>
      <c r="C36" s="12" t="s">
        <v>496</v>
      </c>
      <c r="D36" s="9"/>
      <c r="E36" s="11" t="s">
        <v>450</v>
      </c>
      <c r="F36" s="51" t="s">
        <v>50</v>
      </c>
      <c r="H36" s="11"/>
      <c r="I36" t="s">
        <v>51</v>
      </c>
      <c r="J36" s="10">
        <v>28389</v>
      </c>
      <c r="K36" s="10">
        <v>43355</v>
      </c>
      <c r="L36" t="s">
        <v>52</v>
      </c>
      <c r="M36" t="s">
        <v>53</v>
      </c>
      <c r="N36" s="12"/>
    </row>
    <row r="37" spans="1:14" x14ac:dyDescent="0.2">
      <c r="A37" s="9" t="s">
        <v>428</v>
      </c>
      <c r="B37" s="9" t="s">
        <v>440</v>
      </c>
      <c r="C37" s="12" t="s">
        <v>500</v>
      </c>
      <c r="D37" s="9"/>
      <c r="E37" s="11" t="s">
        <v>450</v>
      </c>
      <c r="F37" s="51" t="s">
        <v>485</v>
      </c>
      <c r="H37" s="11"/>
      <c r="I37" t="s">
        <v>156</v>
      </c>
      <c r="J37" s="10">
        <v>23808</v>
      </c>
      <c r="K37" s="10">
        <v>45780</v>
      </c>
      <c r="L37" t="s">
        <v>481</v>
      </c>
      <c r="M37" t="s">
        <v>31</v>
      </c>
      <c r="N37" s="12"/>
    </row>
    <row r="38" spans="1:14" x14ac:dyDescent="0.2">
      <c r="A38" s="9" t="s">
        <v>464</v>
      </c>
      <c r="B38" s="9" t="s">
        <v>106</v>
      </c>
      <c r="C38" s="23" t="s">
        <v>500</v>
      </c>
      <c r="D38" s="9"/>
      <c r="E38" s="11" t="s">
        <v>450</v>
      </c>
      <c r="F38" s="55" t="s">
        <v>296</v>
      </c>
      <c r="G38" s="1"/>
      <c r="H38" s="56"/>
      <c r="I38" s="1" t="s">
        <v>232</v>
      </c>
      <c r="J38" s="15">
        <v>21802</v>
      </c>
      <c r="K38" s="15">
        <v>44465</v>
      </c>
      <c r="L38" s="1" t="s">
        <v>297</v>
      </c>
      <c r="M38" s="1" t="s">
        <v>298</v>
      </c>
      <c r="N38"/>
    </row>
    <row r="39" spans="1:14" x14ac:dyDescent="0.2">
      <c r="A39" s="9" t="s">
        <v>428</v>
      </c>
      <c r="B39" s="9" t="s">
        <v>429</v>
      </c>
      <c r="C39" s="12" t="s">
        <v>496</v>
      </c>
      <c r="D39" s="9"/>
      <c r="E39" s="11" t="s">
        <v>450</v>
      </c>
      <c r="F39" s="51" t="s">
        <v>574</v>
      </c>
      <c r="H39" s="11" t="s">
        <v>572</v>
      </c>
      <c r="I39" s="1" t="s">
        <v>568</v>
      </c>
      <c r="J39" s="15">
        <v>31211</v>
      </c>
      <c r="K39" s="10">
        <v>45843</v>
      </c>
      <c r="L39" t="s">
        <v>60</v>
      </c>
      <c r="M39" t="s">
        <v>379</v>
      </c>
      <c r="N39" s="12"/>
    </row>
    <row r="40" spans="1:14" x14ac:dyDescent="0.2">
      <c r="A40" s="9" t="s">
        <v>464</v>
      </c>
      <c r="B40" s="9" t="s">
        <v>429</v>
      </c>
      <c r="C40" s="23" t="s">
        <v>499</v>
      </c>
      <c r="D40" s="9"/>
      <c r="E40" s="11" t="s">
        <v>450</v>
      </c>
      <c r="F40" s="55" t="s">
        <v>374</v>
      </c>
      <c r="G40" s="1"/>
      <c r="H40" s="56"/>
      <c r="I40" s="1" t="s">
        <v>208</v>
      </c>
      <c r="J40" s="15">
        <v>24543</v>
      </c>
      <c r="K40" s="15">
        <v>45444</v>
      </c>
      <c r="L40" s="1" t="s">
        <v>19</v>
      </c>
      <c r="M40" s="1" t="s">
        <v>283</v>
      </c>
      <c r="N40"/>
    </row>
    <row r="41" spans="1:14" x14ac:dyDescent="0.2">
      <c r="A41" s="9" t="s">
        <v>428</v>
      </c>
      <c r="B41" s="9" t="s">
        <v>106</v>
      </c>
      <c r="C41" s="12" t="s">
        <v>500</v>
      </c>
      <c r="D41" s="9"/>
      <c r="E41" s="11" t="s">
        <v>450</v>
      </c>
      <c r="F41" s="51" t="s">
        <v>468</v>
      </c>
      <c r="G41" s="11"/>
      <c r="I41" t="s">
        <v>469</v>
      </c>
      <c r="J41" s="10">
        <v>23726</v>
      </c>
      <c r="K41" s="10">
        <v>45753</v>
      </c>
      <c r="L41" t="s">
        <v>470</v>
      </c>
      <c r="M41" t="s">
        <v>298</v>
      </c>
      <c r="N41" s="12">
        <v>60</v>
      </c>
    </row>
    <row r="42" spans="1:14" x14ac:dyDescent="0.2">
      <c r="A42" s="9" t="s">
        <v>428</v>
      </c>
      <c r="B42" s="9" t="s">
        <v>429</v>
      </c>
      <c r="C42" s="12" t="s">
        <v>507</v>
      </c>
      <c r="D42" s="9"/>
      <c r="E42" s="11" t="s">
        <v>450</v>
      </c>
      <c r="F42" s="51" t="s">
        <v>395</v>
      </c>
      <c r="H42" s="11" t="s">
        <v>396</v>
      </c>
      <c r="I42" t="s">
        <v>42</v>
      </c>
      <c r="J42" s="10">
        <v>10618</v>
      </c>
      <c r="K42" s="10">
        <v>45524</v>
      </c>
      <c r="L42" s="1" t="s">
        <v>391</v>
      </c>
      <c r="M42" s="1" t="s">
        <v>53</v>
      </c>
      <c r="N42" s="12"/>
    </row>
    <row r="43" spans="1:14" x14ac:dyDescent="0.2">
      <c r="A43" s="9" t="s">
        <v>428</v>
      </c>
      <c r="B43" s="9" t="s">
        <v>435</v>
      </c>
      <c r="C43" s="12" t="s">
        <v>506</v>
      </c>
      <c r="D43" s="9"/>
      <c r="E43" s="11" t="s">
        <v>450</v>
      </c>
      <c r="F43" s="51" t="s">
        <v>382</v>
      </c>
      <c r="G43" s="11"/>
      <c r="I43" t="s">
        <v>62</v>
      </c>
      <c r="J43" s="10">
        <v>12320</v>
      </c>
      <c r="K43" s="10">
        <v>45480</v>
      </c>
      <c r="L43" t="s">
        <v>366</v>
      </c>
      <c r="M43" t="s">
        <v>31</v>
      </c>
      <c r="N43" s="12"/>
    </row>
    <row r="44" spans="1:14" x14ac:dyDescent="0.2">
      <c r="A44" s="9" t="s">
        <v>428</v>
      </c>
      <c r="B44" s="9" t="s">
        <v>440</v>
      </c>
      <c r="C44" s="12" t="s">
        <v>502</v>
      </c>
      <c r="D44" s="9"/>
      <c r="E44" s="11" t="s">
        <v>450</v>
      </c>
      <c r="F44" s="51" t="s">
        <v>383</v>
      </c>
      <c r="G44" s="11"/>
      <c r="I44" t="s">
        <v>113</v>
      </c>
      <c r="J44" s="10">
        <v>19769</v>
      </c>
      <c r="K44" s="10">
        <v>45479</v>
      </c>
      <c r="L44" t="s">
        <v>366</v>
      </c>
      <c r="M44" t="s">
        <v>31</v>
      </c>
      <c r="N44" s="12"/>
    </row>
    <row r="45" spans="1:14" x14ac:dyDescent="0.2">
      <c r="A45" s="9" t="s">
        <v>464</v>
      </c>
      <c r="B45" t="s">
        <v>130</v>
      </c>
      <c r="C45" s="23" t="s">
        <v>500</v>
      </c>
      <c r="D45" t="s">
        <v>494</v>
      </c>
      <c r="E45" s="11" t="s">
        <v>450</v>
      </c>
      <c r="F45" s="55" t="s">
        <v>280</v>
      </c>
      <c r="G45" s="56"/>
      <c r="I45" s="1" t="s">
        <v>387</v>
      </c>
      <c r="J45" s="15">
        <v>23473</v>
      </c>
      <c r="K45" s="15">
        <v>45564</v>
      </c>
      <c r="L45" s="1" t="s">
        <v>398</v>
      </c>
      <c r="M45" s="1" t="s">
        <v>15</v>
      </c>
      <c r="N45"/>
    </row>
    <row r="46" spans="1:14" x14ac:dyDescent="0.2">
      <c r="A46" s="9" t="s">
        <v>464</v>
      </c>
      <c r="B46" s="9" t="s">
        <v>100</v>
      </c>
      <c r="C46" s="23" t="s">
        <v>499</v>
      </c>
      <c r="D46" s="23"/>
      <c r="E46" s="11" t="s">
        <v>450</v>
      </c>
      <c r="F46" s="55" t="s">
        <v>357</v>
      </c>
      <c r="G46" s="1"/>
      <c r="H46" s="56"/>
      <c r="I46" s="1" t="s">
        <v>299</v>
      </c>
      <c r="J46" s="15">
        <v>23773</v>
      </c>
      <c r="K46" s="15">
        <v>45348</v>
      </c>
      <c r="L46" s="1" t="s">
        <v>358</v>
      </c>
      <c r="M46" s="1" t="s">
        <v>359</v>
      </c>
      <c r="N46"/>
    </row>
    <row r="47" spans="1:14" x14ac:dyDescent="0.2">
      <c r="A47" s="9" t="s">
        <v>464</v>
      </c>
      <c r="B47" s="9" t="s">
        <v>430</v>
      </c>
      <c r="C47" s="23" t="s">
        <v>505</v>
      </c>
      <c r="D47" s="23"/>
      <c r="E47" s="11" t="s">
        <v>450</v>
      </c>
      <c r="F47" s="55" t="s">
        <v>212</v>
      </c>
      <c r="G47" s="1"/>
      <c r="H47" s="56"/>
      <c r="I47" s="1" t="s">
        <v>123</v>
      </c>
      <c r="J47" s="15">
        <v>12394</v>
      </c>
      <c r="K47" s="15">
        <v>43631</v>
      </c>
      <c r="L47" s="1" t="s">
        <v>69</v>
      </c>
      <c r="M47" s="1" t="s">
        <v>146</v>
      </c>
      <c r="N47"/>
    </row>
    <row r="48" spans="1:14" x14ac:dyDescent="0.2">
      <c r="A48" s="9" t="s">
        <v>428</v>
      </c>
      <c r="B48" s="9" t="s">
        <v>433</v>
      </c>
      <c r="C48" s="12" t="s">
        <v>506</v>
      </c>
      <c r="D48" s="9"/>
      <c r="E48" s="11" t="s">
        <v>450</v>
      </c>
      <c r="F48" s="51" t="s">
        <v>400</v>
      </c>
      <c r="H48" s="11"/>
      <c r="I48" t="s">
        <v>62</v>
      </c>
      <c r="J48" s="10">
        <v>12320</v>
      </c>
      <c r="K48" s="53">
        <v>45563</v>
      </c>
      <c r="L48" s="1" t="s">
        <v>398</v>
      </c>
      <c r="M48" s="1" t="s">
        <v>15</v>
      </c>
    </row>
    <row r="49" spans="1:14" x14ac:dyDescent="0.2">
      <c r="A49" s="9" t="s">
        <v>428</v>
      </c>
      <c r="B49" s="9" t="s">
        <v>437</v>
      </c>
      <c r="C49" s="12" t="s">
        <v>504</v>
      </c>
      <c r="D49" s="9" t="s">
        <v>490</v>
      </c>
      <c r="E49" s="11" t="s">
        <v>450</v>
      </c>
      <c r="F49" s="51" t="s">
        <v>403</v>
      </c>
      <c r="H49" s="11"/>
      <c r="I49" t="s">
        <v>322</v>
      </c>
      <c r="J49" s="10">
        <v>16299</v>
      </c>
      <c r="K49" s="53">
        <v>45562</v>
      </c>
      <c r="L49" s="1" t="s">
        <v>398</v>
      </c>
      <c r="M49" s="1" t="s">
        <v>15</v>
      </c>
      <c r="N49" s="12"/>
    </row>
    <row r="50" spans="1:14" x14ac:dyDescent="0.2">
      <c r="A50" s="9" t="s">
        <v>428</v>
      </c>
      <c r="B50" s="9" t="s">
        <v>434</v>
      </c>
      <c r="C50" s="12" t="s">
        <v>502</v>
      </c>
      <c r="D50" s="9"/>
      <c r="E50" s="11" t="s">
        <v>450</v>
      </c>
      <c r="F50" s="51" t="s">
        <v>571</v>
      </c>
      <c r="H50" s="11"/>
      <c r="I50" t="s">
        <v>90</v>
      </c>
      <c r="J50" s="10">
        <v>20038</v>
      </c>
      <c r="K50" s="10">
        <v>45843</v>
      </c>
      <c r="L50" t="s">
        <v>60</v>
      </c>
      <c r="M50" t="s">
        <v>379</v>
      </c>
      <c r="N50" s="12"/>
    </row>
    <row r="51" spans="1:14" x14ac:dyDescent="0.2">
      <c r="A51" s="9" t="s">
        <v>428</v>
      </c>
      <c r="B51" s="9" t="s">
        <v>134</v>
      </c>
      <c r="C51" s="12" t="s">
        <v>505</v>
      </c>
      <c r="D51" s="9">
        <v>400</v>
      </c>
      <c r="E51" s="11" t="s">
        <v>450</v>
      </c>
      <c r="F51" s="51" t="s">
        <v>356</v>
      </c>
      <c r="H51" s="11"/>
      <c r="I51" t="s">
        <v>110</v>
      </c>
      <c r="J51" s="10">
        <v>13492</v>
      </c>
      <c r="K51" s="10">
        <v>45332</v>
      </c>
      <c r="L51" s="1" t="s">
        <v>54</v>
      </c>
      <c r="M51" s="1" t="s">
        <v>33</v>
      </c>
      <c r="N51" s="12"/>
    </row>
    <row r="52" spans="1:14" x14ac:dyDescent="0.2">
      <c r="A52" s="9" t="s">
        <v>464</v>
      </c>
      <c r="B52" t="s">
        <v>130</v>
      </c>
      <c r="C52" s="23" t="s">
        <v>500</v>
      </c>
      <c r="D52" t="s">
        <v>494</v>
      </c>
      <c r="E52" s="11" t="s">
        <v>450</v>
      </c>
      <c r="F52" s="55" t="s">
        <v>280</v>
      </c>
      <c r="G52" s="56"/>
      <c r="I52" s="1" t="s">
        <v>387</v>
      </c>
      <c r="J52" s="15">
        <v>23473</v>
      </c>
      <c r="K52" s="15">
        <v>45564</v>
      </c>
      <c r="L52" s="1" t="s">
        <v>398</v>
      </c>
      <c r="M52" s="1" t="s">
        <v>15</v>
      </c>
      <c r="N52"/>
    </row>
    <row r="53" spans="1:14" x14ac:dyDescent="0.2">
      <c r="A53" s="9" t="s">
        <v>428</v>
      </c>
      <c r="B53" s="9" t="s">
        <v>438</v>
      </c>
      <c r="C53" s="12" t="s">
        <v>504</v>
      </c>
      <c r="D53" s="9"/>
      <c r="E53" s="11" t="s">
        <v>450</v>
      </c>
      <c r="F53" s="51" t="s">
        <v>575</v>
      </c>
      <c r="H53" s="11"/>
      <c r="I53" t="s">
        <v>150</v>
      </c>
      <c r="J53" s="10">
        <v>16314</v>
      </c>
      <c r="K53" s="53">
        <v>45626</v>
      </c>
      <c r="L53" s="1" t="s">
        <v>350</v>
      </c>
      <c r="M53" s="1" t="s">
        <v>97</v>
      </c>
      <c r="N53" s="12"/>
    </row>
    <row r="54" spans="1:14" x14ac:dyDescent="0.2">
      <c r="A54" s="9" t="s">
        <v>464</v>
      </c>
      <c r="B54" s="9" t="s">
        <v>438</v>
      </c>
      <c r="C54" s="23" t="s">
        <v>501</v>
      </c>
      <c r="D54" s="9"/>
      <c r="E54" s="11" t="s">
        <v>450</v>
      </c>
      <c r="F54" s="55" t="s">
        <v>244</v>
      </c>
      <c r="G54" s="1"/>
      <c r="H54" s="56"/>
      <c r="I54" s="1" t="s">
        <v>243</v>
      </c>
      <c r="J54" s="23"/>
      <c r="K54" s="23">
        <v>2008</v>
      </c>
      <c r="L54" s="1" t="s">
        <v>32</v>
      </c>
      <c r="M54" s="1"/>
      <c r="N54"/>
    </row>
    <row r="55" spans="1:14" x14ac:dyDescent="0.2">
      <c r="A55" s="9" t="s">
        <v>428</v>
      </c>
      <c r="B55" s="9" t="s">
        <v>431</v>
      </c>
      <c r="C55" s="12" t="s">
        <v>496</v>
      </c>
      <c r="D55" s="9"/>
      <c r="E55" s="11" t="s">
        <v>450</v>
      </c>
      <c r="F55" s="51" t="s">
        <v>573</v>
      </c>
      <c r="H55" s="11"/>
      <c r="I55" s="1" t="s">
        <v>568</v>
      </c>
      <c r="J55" s="15">
        <v>31211</v>
      </c>
      <c r="K55" s="10">
        <v>45843</v>
      </c>
      <c r="L55" t="s">
        <v>60</v>
      </c>
      <c r="M55" t="s">
        <v>379</v>
      </c>
      <c r="N55" s="12"/>
    </row>
    <row r="56" spans="1:14" x14ac:dyDescent="0.2">
      <c r="A56" s="9" t="s">
        <v>464</v>
      </c>
      <c r="B56" s="9" t="s">
        <v>431</v>
      </c>
      <c r="C56" s="23">
        <v>55</v>
      </c>
      <c r="D56" s="9"/>
      <c r="E56" s="11" t="s">
        <v>450</v>
      </c>
      <c r="F56" s="55" t="s">
        <v>218</v>
      </c>
      <c r="G56" s="1"/>
      <c r="H56" s="56"/>
      <c r="I56" s="1" t="s">
        <v>219</v>
      </c>
      <c r="J56" s="23"/>
      <c r="K56" s="23">
        <v>2008</v>
      </c>
      <c r="L56" s="1" t="s">
        <v>220</v>
      </c>
      <c r="M56" s="1" t="s">
        <v>15</v>
      </c>
    </row>
    <row r="57" spans="1:14" x14ac:dyDescent="0.2">
      <c r="A57" s="9" t="s">
        <v>464</v>
      </c>
      <c r="B57" s="9" t="s">
        <v>431</v>
      </c>
      <c r="C57" s="23" t="s">
        <v>505</v>
      </c>
      <c r="D57" s="9"/>
      <c r="E57" s="11" t="s">
        <v>450</v>
      </c>
      <c r="F57" s="55" t="s">
        <v>486</v>
      </c>
      <c r="G57" s="1"/>
      <c r="H57" s="56"/>
      <c r="I57" s="1" t="s">
        <v>221</v>
      </c>
      <c r="J57" s="15">
        <v>14628</v>
      </c>
      <c r="K57" s="15">
        <v>45780</v>
      </c>
      <c r="L57" t="s">
        <v>481</v>
      </c>
      <c r="M57" t="s">
        <v>31</v>
      </c>
      <c r="N57"/>
    </row>
    <row r="58" spans="1:14" x14ac:dyDescent="0.2">
      <c r="A58" s="9" t="s">
        <v>464</v>
      </c>
      <c r="B58" s="9" t="s">
        <v>439</v>
      </c>
      <c r="C58" s="23" t="s">
        <v>499</v>
      </c>
      <c r="D58" s="9"/>
      <c r="E58" s="11" t="s">
        <v>450</v>
      </c>
      <c r="F58" s="55" t="s">
        <v>309</v>
      </c>
      <c r="G58" s="4"/>
      <c r="H58" s="72"/>
      <c r="I58" s="1" t="s">
        <v>241</v>
      </c>
      <c r="J58" s="15">
        <v>24465</v>
      </c>
      <c r="K58" s="15">
        <v>44758</v>
      </c>
      <c r="L58" s="4" t="s">
        <v>34</v>
      </c>
      <c r="M58" s="1" t="s">
        <v>31</v>
      </c>
      <c r="N58"/>
    </row>
    <row r="59" spans="1:14" x14ac:dyDescent="0.2">
      <c r="A59" s="9" t="s">
        <v>464</v>
      </c>
      <c r="B59" t="s">
        <v>129</v>
      </c>
      <c r="C59" s="23" t="s">
        <v>502</v>
      </c>
      <c r="D59" t="s">
        <v>492</v>
      </c>
      <c r="E59" s="11" t="s">
        <v>450</v>
      </c>
      <c r="F59" s="55" t="s">
        <v>307</v>
      </c>
      <c r="G59" s="1"/>
      <c r="H59" s="56"/>
      <c r="I59" s="1" t="s">
        <v>254</v>
      </c>
      <c r="J59" s="15">
        <v>18954</v>
      </c>
      <c r="K59" s="15">
        <v>44750</v>
      </c>
      <c r="L59" s="1" t="s">
        <v>305</v>
      </c>
      <c r="M59" s="1" t="s">
        <v>53</v>
      </c>
      <c r="N59"/>
    </row>
    <row r="60" spans="1:14" x14ac:dyDescent="0.2">
      <c r="A60" s="9" t="s">
        <v>428</v>
      </c>
      <c r="B60" s="9" t="s">
        <v>432</v>
      </c>
      <c r="C60" s="12" t="s">
        <v>498</v>
      </c>
      <c r="D60" s="9"/>
      <c r="E60" s="11" t="s">
        <v>450</v>
      </c>
      <c r="F60" s="51" t="s">
        <v>388</v>
      </c>
      <c r="H60" s="11"/>
      <c r="I60" t="s">
        <v>72</v>
      </c>
      <c r="J60" s="10">
        <v>27181</v>
      </c>
      <c r="K60" s="10">
        <v>45501</v>
      </c>
      <c r="L60" s="1" t="s">
        <v>389</v>
      </c>
      <c r="M60" t="s">
        <v>390</v>
      </c>
      <c r="N60" s="12"/>
    </row>
    <row r="61" spans="1:14" x14ac:dyDescent="0.2">
      <c r="A61" s="9" t="s">
        <v>428</v>
      </c>
      <c r="B61" s="9" t="s">
        <v>429</v>
      </c>
      <c r="C61" s="12" t="s">
        <v>496</v>
      </c>
      <c r="D61" s="9"/>
      <c r="E61" s="11" t="s">
        <v>450</v>
      </c>
      <c r="F61" s="51" t="s">
        <v>577</v>
      </c>
      <c r="H61" s="11" t="s">
        <v>578</v>
      </c>
      <c r="I61" s="1" t="s">
        <v>568</v>
      </c>
      <c r="J61" s="15">
        <v>31211</v>
      </c>
      <c r="K61" s="10">
        <v>45872</v>
      </c>
      <c r="L61" t="s">
        <v>34</v>
      </c>
      <c r="M61" t="s">
        <v>87</v>
      </c>
    </row>
    <row r="62" spans="1:14" x14ac:dyDescent="0.2">
      <c r="A62" s="9" t="s">
        <v>464</v>
      </c>
      <c r="B62" s="9" t="s">
        <v>429</v>
      </c>
      <c r="C62" s="23" t="s">
        <v>499</v>
      </c>
      <c r="D62" s="9"/>
      <c r="E62" s="11" t="s">
        <v>450</v>
      </c>
      <c r="F62" s="55" t="s">
        <v>580</v>
      </c>
      <c r="G62" s="1"/>
      <c r="H62" s="56" t="s">
        <v>581</v>
      </c>
      <c r="I62" s="1" t="s">
        <v>541</v>
      </c>
      <c r="J62" s="15">
        <v>25706</v>
      </c>
      <c r="K62" s="15">
        <v>45886</v>
      </c>
      <c r="L62" s="1" t="s">
        <v>27</v>
      </c>
      <c r="M62" s="1" t="s">
        <v>579</v>
      </c>
      <c r="N62"/>
    </row>
    <row r="63" spans="1:14" x14ac:dyDescent="0.2">
      <c r="A63" s="9" t="s">
        <v>428</v>
      </c>
      <c r="B63" s="9" t="s">
        <v>437</v>
      </c>
      <c r="C63" s="12" t="s">
        <v>504</v>
      </c>
      <c r="D63" s="9" t="s">
        <v>490</v>
      </c>
      <c r="E63" s="11" t="s">
        <v>450</v>
      </c>
      <c r="F63" s="51" t="s">
        <v>582</v>
      </c>
      <c r="H63" s="11"/>
      <c r="I63" t="s">
        <v>322</v>
      </c>
      <c r="J63" s="10">
        <v>16299</v>
      </c>
      <c r="K63" s="53">
        <v>45898</v>
      </c>
      <c r="L63" s="1" t="s">
        <v>583</v>
      </c>
      <c r="M63" s="1" t="s">
        <v>15</v>
      </c>
      <c r="N63" s="12"/>
    </row>
    <row r="64" spans="1:14" x14ac:dyDescent="0.2">
      <c r="A64" s="9" t="s">
        <v>428</v>
      </c>
      <c r="B64" s="9" t="s">
        <v>442</v>
      </c>
      <c r="C64" s="12" t="s">
        <v>502</v>
      </c>
      <c r="D64" s="9" t="s">
        <v>491</v>
      </c>
      <c r="E64" s="11" t="s">
        <v>450</v>
      </c>
      <c r="F64" s="51" t="s">
        <v>385</v>
      </c>
      <c r="H64" s="11"/>
      <c r="I64" t="s">
        <v>166</v>
      </c>
      <c r="J64" s="10">
        <v>19851</v>
      </c>
      <c r="K64" s="10">
        <v>45478</v>
      </c>
      <c r="L64" s="58" t="s">
        <v>355</v>
      </c>
      <c r="M64" t="s">
        <v>31</v>
      </c>
      <c r="N64" s="12"/>
    </row>
    <row r="65" spans="1:15" x14ac:dyDescent="0.2">
      <c r="A65" s="9" t="s">
        <v>464</v>
      </c>
      <c r="B65" t="s">
        <v>170</v>
      </c>
      <c r="C65" s="23" t="s">
        <v>502</v>
      </c>
      <c r="D65" t="s">
        <v>493</v>
      </c>
      <c r="E65" s="11" t="s">
        <v>450</v>
      </c>
      <c r="F65" s="55" t="s">
        <v>302</v>
      </c>
      <c r="G65" s="4"/>
      <c r="H65" s="56"/>
      <c r="I65" s="1" t="s">
        <v>254</v>
      </c>
      <c r="J65" s="15">
        <v>18954</v>
      </c>
      <c r="K65" s="15">
        <v>44632</v>
      </c>
      <c r="L65" s="1" t="s">
        <v>301</v>
      </c>
      <c r="M65" s="1" t="s">
        <v>15</v>
      </c>
    </row>
    <row r="66" spans="1:15" x14ac:dyDescent="0.2">
      <c r="A66" s="80" t="s">
        <v>464</v>
      </c>
      <c r="B66" s="79" t="s">
        <v>586</v>
      </c>
      <c r="C66" s="81" t="s">
        <v>500</v>
      </c>
      <c r="D66" s="79"/>
      <c r="E66" s="82" t="s">
        <v>450</v>
      </c>
      <c r="F66" s="83" t="s">
        <v>406</v>
      </c>
      <c r="G66" s="84"/>
      <c r="H66" s="85"/>
      <c r="I66" s="84" t="s">
        <v>408</v>
      </c>
      <c r="J66" s="81"/>
      <c r="K66" s="86">
        <v>45626</v>
      </c>
      <c r="L66" s="84" t="s">
        <v>22</v>
      </c>
      <c r="M66" s="84" t="s">
        <v>97</v>
      </c>
      <c r="N66" s="87" t="e">
        <f>IF(_xlfn.NUMBERVALUE(DATEDIF(J66,K66,"Y"))-Table1[[#This Row],[Age Group]]&lt;0,"* Check Age *","")</f>
        <v>#VALUE!</v>
      </c>
    </row>
    <row r="67" spans="1:15" x14ac:dyDescent="0.2">
      <c r="A67" s="88" t="s">
        <v>464</v>
      </c>
      <c r="B67" t="s">
        <v>586</v>
      </c>
      <c r="C67" s="23" t="s">
        <v>500</v>
      </c>
      <c r="E67" s="11" t="s">
        <v>450</v>
      </c>
      <c r="F67" s="55" t="s">
        <v>406</v>
      </c>
      <c r="G67" s="1"/>
      <c r="H67" s="56"/>
      <c r="I67" s="1" t="s">
        <v>409</v>
      </c>
      <c r="J67" s="23"/>
      <c r="K67" s="15">
        <v>45626</v>
      </c>
      <c r="L67" s="1" t="s">
        <v>22</v>
      </c>
      <c r="M67" s="1" t="s">
        <v>97</v>
      </c>
      <c r="N67" s="89"/>
    </row>
    <row r="68" spans="1:15" x14ac:dyDescent="0.2">
      <c r="A68" s="88" t="s">
        <v>464</v>
      </c>
      <c r="B68" t="s">
        <v>586</v>
      </c>
      <c r="C68" s="23" t="s">
        <v>500</v>
      </c>
      <c r="E68" s="11" t="s">
        <v>450</v>
      </c>
      <c r="F68" s="55" t="s">
        <v>406</v>
      </c>
      <c r="G68" s="1"/>
      <c r="H68" s="56"/>
      <c r="I68" s="1" t="s">
        <v>247</v>
      </c>
      <c r="J68" s="23"/>
      <c r="K68" s="15">
        <v>45626</v>
      </c>
      <c r="L68" s="1" t="s">
        <v>22</v>
      </c>
      <c r="M68" s="1" t="s">
        <v>97</v>
      </c>
      <c r="N68" s="89"/>
    </row>
    <row r="69" spans="1:15" x14ac:dyDescent="0.2">
      <c r="A69" s="90" t="s">
        <v>464</v>
      </c>
      <c r="B69" s="91" t="s">
        <v>586</v>
      </c>
      <c r="C69" s="92" t="s">
        <v>500</v>
      </c>
      <c r="D69" s="91"/>
      <c r="E69" s="93" t="s">
        <v>450</v>
      </c>
      <c r="F69" s="94" t="s">
        <v>406</v>
      </c>
      <c r="G69" s="95"/>
      <c r="H69" s="96"/>
      <c r="I69" s="95" t="s">
        <v>407</v>
      </c>
      <c r="J69" s="92"/>
      <c r="K69" s="98">
        <v>45626</v>
      </c>
      <c r="L69" s="95" t="s">
        <v>22</v>
      </c>
      <c r="M69" s="95" t="s">
        <v>97</v>
      </c>
      <c r="N69" s="97"/>
    </row>
    <row r="70" spans="1:15" x14ac:dyDescent="0.2">
      <c r="A70" s="99" t="s">
        <v>464</v>
      </c>
      <c r="B70" s="99" t="s">
        <v>429</v>
      </c>
      <c r="C70" s="103" t="s">
        <v>497</v>
      </c>
      <c r="D70" s="99"/>
      <c r="E70" s="100" t="s">
        <v>450</v>
      </c>
      <c r="F70" s="104" t="s">
        <v>214</v>
      </c>
      <c r="G70" s="5"/>
      <c r="H70" s="105"/>
      <c r="I70" s="5" t="s">
        <v>206</v>
      </c>
      <c r="J70" s="106">
        <v>25836</v>
      </c>
      <c r="K70" s="106">
        <v>42168</v>
      </c>
      <c r="L70" s="5" t="s">
        <v>80</v>
      </c>
      <c r="M70" s="5" t="s">
        <v>146</v>
      </c>
      <c r="N70" s="102" t="e">
        <f>IF(_xlfn.NUMBERVALUE(DATEDIF(J70,K70,"Y"))-Table1[[#This Row],[Age Group]]&lt;0,CONCATENATE("* Check Age = ",TEXT(DATEDIF(J70,K70,"Y"),"00"),"*"),"")</f>
        <v>#VALUE!</v>
      </c>
      <c r="O70" s="101" t="s">
        <v>588</v>
      </c>
    </row>
    <row r="71" spans="1:15" x14ac:dyDescent="0.2">
      <c r="A71" s="9" t="s">
        <v>428</v>
      </c>
      <c r="B71" s="9" t="s">
        <v>100</v>
      </c>
      <c r="C71" s="12" t="s">
        <v>501</v>
      </c>
      <c r="D71" s="9"/>
      <c r="E71" s="11" t="s">
        <v>450</v>
      </c>
      <c r="F71" s="51" t="s">
        <v>345</v>
      </c>
      <c r="H71" s="11"/>
      <c r="I71" t="s">
        <v>346</v>
      </c>
      <c r="J71" s="12">
        <v>1956</v>
      </c>
      <c r="K71" s="10">
        <v>45214</v>
      </c>
      <c r="L71" s="57" t="s">
        <v>60</v>
      </c>
      <c r="M71" s="1" t="s">
        <v>347</v>
      </c>
      <c r="N71" s="78" t="e">
        <f>IF(_xlfn.NUMBERVALUE(DATEDIF(J71,K71,"Y"))-Table1[[#This Row],[Age Group]]&lt;0,"* Check Age *","")</f>
        <v>#VALUE!</v>
      </c>
    </row>
    <row r="72" spans="1:15" x14ac:dyDescent="0.2">
      <c r="A72" s="9" t="s">
        <v>464</v>
      </c>
      <c r="B72" s="9" t="s">
        <v>100</v>
      </c>
      <c r="C72" s="23" t="s">
        <v>500</v>
      </c>
      <c r="D72" s="9"/>
      <c r="E72" s="11" t="s">
        <v>450</v>
      </c>
      <c r="F72" s="55" t="s">
        <v>362</v>
      </c>
      <c r="G72" s="1"/>
      <c r="H72" s="56"/>
      <c r="I72" s="1" t="s">
        <v>363</v>
      </c>
      <c r="J72" s="15">
        <v>23056</v>
      </c>
      <c r="K72" s="15">
        <v>45382</v>
      </c>
      <c r="L72" s="1" t="s">
        <v>364</v>
      </c>
      <c r="M72" s="1" t="s">
        <v>365</v>
      </c>
    </row>
    <row r="73" spans="1:15" x14ac:dyDescent="0.2">
      <c r="A73" s="9" t="s">
        <v>428</v>
      </c>
      <c r="B73" s="9" t="s">
        <v>106</v>
      </c>
      <c r="C73" s="12" t="s">
        <v>498</v>
      </c>
      <c r="D73" s="9"/>
      <c r="E73" s="11" t="s">
        <v>450</v>
      </c>
      <c r="F73" s="51" t="s">
        <v>352</v>
      </c>
      <c r="H73" s="11"/>
      <c r="I73" t="s">
        <v>351</v>
      </c>
      <c r="J73" s="10">
        <v>26956</v>
      </c>
      <c r="K73" s="10">
        <v>45242</v>
      </c>
      <c r="L73" t="s">
        <v>32</v>
      </c>
      <c r="M73" t="s">
        <v>319</v>
      </c>
      <c r="N73" s="78" t="e">
        <f>IF(_xlfn.NUMBERVALUE(DATEDIF(J73,K73,"Y"))-Table1[[#This Row],[Age Group]]&lt;0,"* Check Age *","")</f>
        <v>#VALUE!</v>
      </c>
    </row>
    <row r="74" spans="1:15" x14ac:dyDescent="0.2">
      <c r="A74" s="9" t="s">
        <v>464</v>
      </c>
      <c r="B74" s="9" t="s">
        <v>436</v>
      </c>
      <c r="C74" s="23" t="s">
        <v>499</v>
      </c>
      <c r="D74" s="9"/>
      <c r="E74" s="11" t="s">
        <v>450</v>
      </c>
      <c r="F74" s="55" t="s">
        <v>353</v>
      </c>
      <c r="G74" s="1"/>
      <c r="H74" s="56"/>
      <c r="I74" s="1" t="s">
        <v>299</v>
      </c>
      <c r="J74" s="15">
        <v>23773</v>
      </c>
      <c r="K74" s="15">
        <v>45276</v>
      </c>
      <c r="L74" s="1" t="s">
        <v>95</v>
      </c>
      <c r="M74" s="1" t="s">
        <v>96</v>
      </c>
      <c r="N74" s="78" t="e">
        <f>IF(_xlfn.NUMBERVALUE(DATEDIF(J74,K74,"Y"))-Table1[[#This Row],[Age Group]]&lt;0,"* Check Age *","")</f>
        <v>#VALUE!</v>
      </c>
    </row>
    <row r="75" spans="1:15" x14ac:dyDescent="0.2">
      <c r="A75" s="9" t="s">
        <v>464</v>
      </c>
      <c r="B75" s="9" t="s">
        <v>106</v>
      </c>
      <c r="C75" s="23" t="s">
        <v>500</v>
      </c>
      <c r="D75" s="9"/>
      <c r="E75" s="11" t="s">
        <v>450</v>
      </c>
      <c r="F75" s="55" t="s">
        <v>587</v>
      </c>
      <c r="G75" s="1"/>
      <c r="H75" s="56"/>
      <c r="I75" s="1" t="s">
        <v>299</v>
      </c>
      <c r="J75" s="15">
        <v>23773</v>
      </c>
      <c r="K75" s="15">
        <v>45711</v>
      </c>
      <c r="L75" s="1" t="s">
        <v>576</v>
      </c>
      <c r="M75" s="1" t="s">
        <v>298</v>
      </c>
      <c r="N75" s="78" t="e">
        <f>IF(_xlfn.NUMBERVALUE(DATEDIF(J75,K75,"Y"))-Table1[[#This Row],[Age Group]]&lt;0,"* Check Age *","")</f>
        <v>#VALUE!</v>
      </c>
    </row>
    <row r="76" spans="1:15" x14ac:dyDescent="0.2">
      <c r="A76" s="9" t="s">
        <v>464</v>
      </c>
      <c r="B76" s="9" t="s">
        <v>100</v>
      </c>
      <c r="C76" s="23" t="s">
        <v>500</v>
      </c>
      <c r="D76" s="9"/>
      <c r="E76" s="11" t="s">
        <v>450</v>
      </c>
      <c r="F76" s="55" t="s">
        <v>589</v>
      </c>
      <c r="G76" s="1"/>
      <c r="H76" s="56"/>
      <c r="I76" s="1" t="s">
        <v>227</v>
      </c>
      <c r="J76" s="15">
        <v>23859</v>
      </c>
      <c r="K76" s="15">
        <v>45991</v>
      </c>
      <c r="L76" s="1" t="s">
        <v>364</v>
      </c>
      <c r="M76" s="1" t="s">
        <v>365</v>
      </c>
      <c r="N76" s="78" t="e">
        <f>IF(_xlfn.NUMBERVALUE(DATEDIF(J76,K76,"Y"))-Table1[[#This Row],[Age Group]]&lt;0,"* Check Age *","")</f>
        <v>#VALUE!</v>
      </c>
    </row>
  </sheetData>
  <mergeCells count="1">
    <mergeCell ref="A1:N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3626-CFA8-124D-BBFD-23EB9EEF13D4}">
  <dimension ref="A1:C439"/>
  <sheetViews>
    <sheetView topLeftCell="A108" zoomScale="120" zoomScaleNormal="120" workbookViewId="0">
      <selection activeCell="B130" sqref="B130"/>
    </sheetView>
  </sheetViews>
  <sheetFormatPr baseColWidth="10" defaultColWidth="10.83203125" defaultRowHeight="15" x14ac:dyDescent="0.2"/>
  <cols>
    <col min="1" max="1" width="36.1640625" bestFit="1" customWidth="1"/>
    <col min="2" max="2" width="12.5" bestFit="1" customWidth="1"/>
    <col min="3" max="3" width="10.83203125" style="77"/>
  </cols>
  <sheetData>
    <row r="1" spans="1:3" x14ac:dyDescent="0.2">
      <c r="A1" s="6" t="s">
        <v>512</v>
      </c>
      <c r="B1" s="6" t="s">
        <v>513</v>
      </c>
      <c r="C1" s="77" t="s">
        <v>570</v>
      </c>
    </row>
    <row r="2" spans="1:3" x14ac:dyDescent="0.2">
      <c r="A2" s="1" t="s">
        <v>125</v>
      </c>
      <c r="B2" s="15">
        <v>28758</v>
      </c>
      <c r="C2" s="77">
        <f ca="1">DATEDIF(B2,TODAY(),"Y")</f>
        <v>47</v>
      </c>
    </row>
    <row r="3" spans="1:3" x14ac:dyDescent="0.2">
      <c r="A3" t="s">
        <v>172</v>
      </c>
      <c r="B3" s="10">
        <v>20677</v>
      </c>
      <c r="C3" s="77">
        <f t="shared" ref="C3:C66" ca="1" si="0">DATEDIF(B3,TODAY(),"Y")</f>
        <v>69</v>
      </c>
    </row>
    <row r="4" spans="1:3" x14ac:dyDescent="0.2">
      <c r="A4" s="1" t="s">
        <v>251</v>
      </c>
      <c r="B4" s="23">
        <v>1960</v>
      </c>
      <c r="C4" s="77">
        <f t="shared" ca="1" si="0"/>
        <v>120</v>
      </c>
    </row>
    <row r="5" spans="1:3" x14ac:dyDescent="0.2">
      <c r="A5" t="s">
        <v>167</v>
      </c>
      <c r="B5" s="11">
        <v>1915</v>
      </c>
      <c r="C5" s="77">
        <f t="shared" ca="1" si="0"/>
        <v>120</v>
      </c>
    </row>
    <row r="6" spans="1:3" x14ac:dyDescent="0.2">
      <c r="A6" t="s">
        <v>514</v>
      </c>
      <c r="B6" s="10">
        <v>25893</v>
      </c>
      <c r="C6" s="77">
        <f t="shared" ca="1" si="0"/>
        <v>55</v>
      </c>
    </row>
    <row r="7" spans="1:3" x14ac:dyDescent="0.2">
      <c r="A7" t="s">
        <v>354</v>
      </c>
      <c r="B7" s="11">
        <v>1975</v>
      </c>
      <c r="C7" s="77">
        <f t="shared" ca="1" si="0"/>
        <v>120</v>
      </c>
    </row>
    <row r="8" spans="1:3" x14ac:dyDescent="0.2">
      <c r="A8" t="s">
        <v>349</v>
      </c>
      <c r="B8" s="13">
        <v>21892</v>
      </c>
      <c r="C8" s="77">
        <f t="shared" ca="1" si="0"/>
        <v>66</v>
      </c>
    </row>
    <row r="9" spans="1:3" x14ac:dyDescent="0.2">
      <c r="A9" s="1" t="s">
        <v>344</v>
      </c>
      <c r="B9" s="23">
        <v>1982</v>
      </c>
      <c r="C9" s="77">
        <f t="shared" ca="1" si="0"/>
        <v>120</v>
      </c>
    </row>
    <row r="10" spans="1:3" x14ac:dyDescent="0.2">
      <c r="A10" s="1" t="s">
        <v>515</v>
      </c>
      <c r="B10" s="15">
        <v>30881</v>
      </c>
      <c r="C10" s="77">
        <f t="shared" ca="1" si="0"/>
        <v>41</v>
      </c>
    </row>
    <row r="11" spans="1:3" x14ac:dyDescent="0.2">
      <c r="A11" s="1" t="s">
        <v>516</v>
      </c>
      <c r="B11" s="15">
        <v>28047</v>
      </c>
      <c r="C11" s="77">
        <f t="shared" ca="1" si="0"/>
        <v>49</v>
      </c>
    </row>
    <row r="12" spans="1:3" x14ac:dyDescent="0.2">
      <c r="A12" s="1" t="s">
        <v>517</v>
      </c>
      <c r="B12" s="15">
        <v>23843</v>
      </c>
      <c r="C12" s="77">
        <f t="shared" ca="1" si="0"/>
        <v>60</v>
      </c>
    </row>
    <row r="13" spans="1:3" x14ac:dyDescent="0.2">
      <c r="A13" s="58" t="s">
        <v>178</v>
      </c>
      <c r="B13" s="10">
        <v>26833</v>
      </c>
      <c r="C13" s="77">
        <f t="shared" ca="1" si="0"/>
        <v>52</v>
      </c>
    </row>
    <row r="14" spans="1:3" x14ac:dyDescent="0.2">
      <c r="A14" t="s">
        <v>360</v>
      </c>
      <c r="B14" s="10">
        <v>32404</v>
      </c>
      <c r="C14" s="77">
        <f t="shared" ca="1" si="0"/>
        <v>37</v>
      </c>
    </row>
    <row r="15" spans="1:3" x14ac:dyDescent="0.2">
      <c r="A15" t="s">
        <v>24</v>
      </c>
      <c r="B15" s="10">
        <v>25013</v>
      </c>
      <c r="C15" s="77">
        <f t="shared" ca="1" si="0"/>
        <v>57</v>
      </c>
    </row>
    <row r="16" spans="1:3" x14ac:dyDescent="0.2">
      <c r="A16" t="s">
        <v>381</v>
      </c>
      <c r="B16" s="10">
        <v>24440</v>
      </c>
      <c r="C16" s="77">
        <f t="shared" ca="1" si="0"/>
        <v>59</v>
      </c>
    </row>
    <row r="17" spans="1:3" x14ac:dyDescent="0.2">
      <c r="A17" s="1" t="s">
        <v>217</v>
      </c>
      <c r="B17" s="15">
        <v>16041</v>
      </c>
      <c r="C17" s="77">
        <f t="shared" ca="1" si="0"/>
        <v>82</v>
      </c>
    </row>
    <row r="18" spans="1:3" x14ac:dyDescent="0.2">
      <c r="A18" s="1" t="s">
        <v>260</v>
      </c>
      <c r="B18" s="15">
        <v>24913</v>
      </c>
      <c r="C18" s="77">
        <f t="shared" ca="1" si="0"/>
        <v>57</v>
      </c>
    </row>
    <row r="19" spans="1:3" x14ac:dyDescent="0.2">
      <c r="A19" s="1" t="s">
        <v>207</v>
      </c>
      <c r="B19" s="15">
        <v>28520</v>
      </c>
      <c r="C19" s="77">
        <f t="shared" ca="1" si="0"/>
        <v>48</v>
      </c>
    </row>
    <row r="20" spans="1:3" x14ac:dyDescent="0.2">
      <c r="A20" s="1" t="s">
        <v>320</v>
      </c>
      <c r="B20" s="15">
        <v>26033</v>
      </c>
      <c r="C20" s="77">
        <f t="shared" ca="1" si="0"/>
        <v>54</v>
      </c>
    </row>
    <row r="21" spans="1:3" x14ac:dyDescent="0.2">
      <c r="A21" t="s">
        <v>518</v>
      </c>
      <c r="B21" s="10">
        <v>12823</v>
      </c>
      <c r="C21" s="77">
        <f t="shared" ca="1" si="0"/>
        <v>91</v>
      </c>
    </row>
    <row r="22" spans="1:3" x14ac:dyDescent="0.2">
      <c r="A22" t="s">
        <v>519</v>
      </c>
      <c r="B22" s="10">
        <v>25380</v>
      </c>
      <c r="C22" s="77">
        <f t="shared" ca="1" si="0"/>
        <v>56</v>
      </c>
    </row>
    <row r="23" spans="1:3" x14ac:dyDescent="0.2">
      <c r="A23" t="s">
        <v>274</v>
      </c>
      <c r="B23" s="11">
        <v>1965</v>
      </c>
      <c r="C23" s="77">
        <f t="shared" ca="1" si="0"/>
        <v>120</v>
      </c>
    </row>
    <row r="24" spans="1:3" x14ac:dyDescent="0.2">
      <c r="A24" t="s">
        <v>43</v>
      </c>
      <c r="B24" s="10">
        <v>8298</v>
      </c>
      <c r="C24" s="77">
        <f t="shared" ca="1" si="0"/>
        <v>103</v>
      </c>
    </row>
    <row r="25" spans="1:3" x14ac:dyDescent="0.2">
      <c r="A25" s="58" t="s">
        <v>292</v>
      </c>
      <c r="B25" s="11">
        <v>1965</v>
      </c>
      <c r="C25" s="77">
        <f t="shared" ca="1" si="0"/>
        <v>120</v>
      </c>
    </row>
    <row r="26" spans="1:3" x14ac:dyDescent="0.2">
      <c r="A26" t="s">
        <v>367</v>
      </c>
      <c r="B26" s="13">
        <v>32184</v>
      </c>
      <c r="C26" s="77">
        <f t="shared" ca="1" si="0"/>
        <v>37</v>
      </c>
    </row>
    <row r="27" spans="1:3" x14ac:dyDescent="0.2">
      <c r="A27" s="1" t="s">
        <v>520</v>
      </c>
      <c r="B27" s="15">
        <v>27384</v>
      </c>
      <c r="C27" s="77">
        <f t="shared" ca="1" si="0"/>
        <v>51</v>
      </c>
    </row>
    <row r="28" spans="1:3" x14ac:dyDescent="0.2">
      <c r="A28" s="1" t="s">
        <v>206</v>
      </c>
      <c r="B28" s="15">
        <v>25836</v>
      </c>
      <c r="C28" s="77">
        <f t="shared" ca="1" si="0"/>
        <v>55</v>
      </c>
    </row>
    <row r="29" spans="1:3" x14ac:dyDescent="0.2">
      <c r="A29" s="1" t="s">
        <v>124</v>
      </c>
      <c r="B29" s="15">
        <v>30762</v>
      </c>
      <c r="C29" s="77">
        <f t="shared" ca="1" si="0"/>
        <v>41</v>
      </c>
    </row>
    <row r="30" spans="1:3" x14ac:dyDescent="0.2">
      <c r="A30" s="1" t="s">
        <v>521</v>
      </c>
      <c r="B30" s="15">
        <v>25346</v>
      </c>
      <c r="C30" s="77">
        <f t="shared" ca="1" si="0"/>
        <v>56</v>
      </c>
    </row>
    <row r="31" spans="1:3" x14ac:dyDescent="0.2">
      <c r="A31" t="s">
        <v>51</v>
      </c>
      <c r="B31" s="10">
        <v>28389</v>
      </c>
      <c r="C31" s="77">
        <f t="shared" ca="1" si="0"/>
        <v>48</v>
      </c>
    </row>
    <row r="32" spans="1:3" x14ac:dyDescent="0.2">
      <c r="A32" t="s">
        <v>346</v>
      </c>
      <c r="B32" s="12">
        <v>1956</v>
      </c>
      <c r="C32" s="77">
        <f t="shared" ca="1" si="0"/>
        <v>120</v>
      </c>
    </row>
    <row r="33" spans="1:3" x14ac:dyDescent="0.2">
      <c r="A33" t="s">
        <v>57</v>
      </c>
      <c r="B33" s="10">
        <v>19131</v>
      </c>
      <c r="C33" s="77">
        <f t="shared" ca="1" si="0"/>
        <v>73</v>
      </c>
    </row>
    <row r="34" spans="1:3" x14ac:dyDescent="0.2">
      <c r="A34" t="s">
        <v>59</v>
      </c>
      <c r="B34" s="10">
        <v>16073</v>
      </c>
      <c r="C34" s="77">
        <f t="shared" ca="1" si="0"/>
        <v>82</v>
      </c>
    </row>
    <row r="35" spans="1:3" x14ac:dyDescent="0.2">
      <c r="A35" s="1" t="s">
        <v>234</v>
      </c>
      <c r="B35" s="15">
        <v>27609</v>
      </c>
      <c r="C35" s="77">
        <f t="shared" ca="1" si="0"/>
        <v>50</v>
      </c>
    </row>
    <row r="36" spans="1:3" x14ac:dyDescent="0.2">
      <c r="A36" s="4" t="s">
        <v>256</v>
      </c>
      <c r="B36" s="15">
        <v>27163</v>
      </c>
      <c r="C36" s="77">
        <f t="shared" ca="1" si="0"/>
        <v>51</v>
      </c>
    </row>
    <row r="37" spans="1:3" x14ac:dyDescent="0.2">
      <c r="A37" t="s">
        <v>147</v>
      </c>
      <c r="B37" s="10">
        <v>18836</v>
      </c>
      <c r="C37" s="77">
        <f t="shared" ca="1" si="0"/>
        <v>74</v>
      </c>
    </row>
    <row r="38" spans="1:3" x14ac:dyDescent="0.2">
      <c r="A38" s="1" t="s">
        <v>117</v>
      </c>
      <c r="B38" s="15">
        <v>28329</v>
      </c>
      <c r="C38" s="77">
        <f t="shared" ca="1" si="0"/>
        <v>48</v>
      </c>
    </row>
    <row r="39" spans="1:3" x14ac:dyDescent="0.2">
      <c r="A39" s="1" t="s">
        <v>405</v>
      </c>
      <c r="B39" s="15">
        <v>21856</v>
      </c>
      <c r="C39" s="77">
        <f t="shared" ca="1" si="0"/>
        <v>66</v>
      </c>
    </row>
    <row r="40" spans="1:3" x14ac:dyDescent="0.2">
      <c r="A40" s="1" t="s">
        <v>248</v>
      </c>
      <c r="B40" s="15">
        <v>21856</v>
      </c>
      <c r="C40" s="77">
        <f t="shared" ca="1" si="0"/>
        <v>66</v>
      </c>
    </row>
    <row r="41" spans="1:3" x14ac:dyDescent="0.2">
      <c r="A41" t="s">
        <v>522</v>
      </c>
      <c r="B41" s="10">
        <v>16860</v>
      </c>
      <c r="C41" s="77">
        <f t="shared" ca="1" si="0"/>
        <v>79</v>
      </c>
    </row>
    <row r="42" spans="1:3" x14ac:dyDescent="0.2">
      <c r="A42" s="1" t="s">
        <v>240</v>
      </c>
      <c r="B42" s="15">
        <v>29242</v>
      </c>
      <c r="C42" s="77">
        <f t="shared" ca="1" si="0"/>
        <v>46</v>
      </c>
    </row>
    <row r="43" spans="1:3" x14ac:dyDescent="0.2">
      <c r="A43" s="1" t="s">
        <v>272</v>
      </c>
      <c r="B43" s="23"/>
      <c r="C43" s="77">
        <f t="shared" ca="1" si="0"/>
        <v>126</v>
      </c>
    </row>
    <row r="44" spans="1:3" x14ac:dyDescent="0.2">
      <c r="A44" t="s">
        <v>113</v>
      </c>
      <c r="B44" s="10">
        <v>19769</v>
      </c>
      <c r="C44" s="77">
        <f t="shared" ca="1" si="0"/>
        <v>71</v>
      </c>
    </row>
    <row r="45" spans="1:3" x14ac:dyDescent="0.2">
      <c r="A45" t="s">
        <v>182</v>
      </c>
      <c r="B45" s="11">
        <v>1933</v>
      </c>
      <c r="C45" s="77">
        <f t="shared" ca="1" si="0"/>
        <v>120</v>
      </c>
    </row>
    <row r="46" spans="1:3" x14ac:dyDescent="0.2">
      <c r="A46" t="s">
        <v>175</v>
      </c>
      <c r="B46" s="10">
        <v>15193</v>
      </c>
      <c r="C46" s="77">
        <f t="shared" ca="1" si="0"/>
        <v>84</v>
      </c>
    </row>
    <row r="47" spans="1:3" x14ac:dyDescent="0.2">
      <c r="A47" t="s">
        <v>166</v>
      </c>
      <c r="B47" s="10">
        <v>19851</v>
      </c>
      <c r="C47" s="77">
        <f t="shared" ca="1" si="0"/>
        <v>71</v>
      </c>
    </row>
    <row r="48" spans="1:3" x14ac:dyDescent="0.2">
      <c r="A48" t="s">
        <v>523</v>
      </c>
      <c r="B48" s="10">
        <v>22341</v>
      </c>
      <c r="C48" s="77">
        <f t="shared" ca="1" si="0"/>
        <v>64</v>
      </c>
    </row>
    <row r="49" spans="1:3" x14ac:dyDescent="0.2">
      <c r="A49" t="s">
        <v>322</v>
      </c>
      <c r="B49" s="10">
        <v>16299</v>
      </c>
      <c r="C49" s="77">
        <f t="shared" ca="1" si="0"/>
        <v>81</v>
      </c>
    </row>
    <row r="50" spans="1:3" x14ac:dyDescent="0.2">
      <c r="A50" s="1" t="s">
        <v>271</v>
      </c>
      <c r="B50" s="15">
        <v>18095</v>
      </c>
      <c r="C50" s="77">
        <f t="shared" ca="1" si="0"/>
        <v>76</v>
      </c>
    </row>
    <row r="51" spans="1:3" x14ac:dyDescent="0.2">
      <c r="A51" s="1" t="s">
        <v>223</v>
      </c>
      <c r="B51" s="15">
        <v>26963</v>
      </c>
      <c r="C51" s="77">
        <f t="shared" ca="1" si="0"/>
        <v>52</v>
      </c>
    </row>
    <row r="52" spans="1:3" x14ac:dyDescent="0.2">
      <c r="A52" t="s">
        <v>55</v>
      </c>
      <c r="B52" s="10">
        <v>21664</v>
      </c>
      <c r="C52" s="77">
        <f t="shared" ca="1" si="0"/>
        <v>66</v>
      </c>
    </row>
    <row r="53" spans="1:3" x14ac:dyDescent="0.2">
      <c r="A53" t="s">
        <v>281</v>
      </c>
      <c r="B53" s="10">
        <v>20753</v>
      </c>
      <c r="C53" s="77">
        <f t="shared" ca="1" si="0"/>
        <v>69</v>
      </c>
    </row>
    <row r="54" spans="1:3" x14ac:dyDescent="0.2">
      <c r="A54" t="s">
        <v>524</v>
      </c>
      <c r="B54" s="10">
        <v>20991</v>
      </c>
      <c r="C54" s="77">
        <f t="shared" ca="1" si="0"/>
        <v>68</v>
      </c>
    </row>
    <row r="55" spans="1:3" x14ac:dyDescent="0.2">
      <c r="A55" s="1" t="s">
        <v>228</v>
      </c>
      <c r="B55" s="15">
        <v>25281</v>
      </c>
      <c r="C55" s="77">
        <f t="shared" ca="1" si="0"/>
        <v>56</v>
      </c>
    </row>
    <row r="56" spans="1:3" x14ac:dyDescent="0.2">
      <c r="A56" s="1" t="s">
        <v>211</v>
      </c>
      <c r="B56" s="15">
        <v>10594</v>
      </c>
      <c r="C56" s="77">
        <f t="shared" ca="1" si="0"/>
        <v>97</v>
      </c>
    </row>
    <row r="57" spans="1:3" x14ac:dyDescent="0.2">
      <c r="A57" s="1" t="s">
        <v>230</v>
      </c>
      <c r="B57" s="15">
        <v>23105</v>
      </c>
      <c r="C57" s="77">
        <f t="shared" ca="1" si="0"/>
        <v>62</v>
      </c>
    </row>
    <row r="58" spans="1:3" x14ac:dyDescent="0.2">
      <c r="A58" t="s">
        <v>525</v>
      </c>
      <c r="B58" s="10">
        <v>21673</v>
      </c>
      <c r="C58" s="77">
        <f t="shared" ca="1" si="0"/>
        <v>66</v>
      </c>
    </row>
    <row r="59" spans="1:3" x14ac:dyDescent="0.2">
      <c r="A59" t="s">
        <v>526</v>
      </c>
      <c r="B59" s="10">
        <v>15392</v>
      </c>
      <c r="C59" s="77">
        <f t="shared" ca="1" si="0"/>
        <v>83</v>
      </c>
    </row>
    <row r="60" spans="1:3" x14ac:dyDescent="0.2">
      <c r="A60" t="s">
        <v>101</v>
      </c>
      <c r="B60" s="10">
        <v>11619</v>
      </c>
      <c r="C60" s="77">
        <f t="shared" ca="1" si="0"/>
        <v>94</v>
      </c>
    </row>
    <row r="61" spans="1:3" x14ac:dyDescent="0.2">
      <c r="A61" t="s">
        <v>527</v>
      </c>
      <c r="B61" s="10">
        <v>29328</v>
      </c>
      <c r="C61" s="77">
        <f t="shared" ca="1" si="0"/>
        <v>45</v>
      </c>
    </row>
    <row r="62" spans="1:3" x14ac:dyDescent="0.2">
      <c r="A62" t="s">
        <v>135</v>
      </c>
      <c r="B62" s="10">
        <v>29918</v>
      </c>
      <c r="C62" s="77">
        <f t="shared" ca="1" si="0"/>
        <v>44</v>
      </c>
    </row>
    <row r="63" spans="1:3" x14ac:dyDescent="0.2">
      <c r="A63" t="s">
        <v>67</v>
      </c>
      <c r="B63" s="10">
        <v>12913</v>
      </c>
      <c r="C63" s="77">
        <f t="shared" ca="1" si="0"/>
        <v>90</v>
      </c>
    </row>
    <row r="64" spans="1:3" x14ac:dyDescent="0.2">
      <c r="A64" t="s">
        <v>93</v>
      </c>
      <c r="B64" s="10">
        <v>26471</v>
      </c>
      <c r="C64" s="77">
        <f t="shared" ca="1" si="0"/>
        <v>53</v>
      </c>
    </row>
    <row r="65" spans="1:3" x14ac:dyDescent="0.2">
      <c r="A65" t="s">
        <v>180</v>
      </c>
      <c r="B65" s="11">
        <v>1944</v>
      </c>
      <c r="C65" s="77">
        <f t="shared" ca="1" si="0"/>
        <v>120</v>
      </c>
    </row>
    <row r="66" spans="1:3" x14ac:dyDescent="0.2">
      <c r="A66" t="s">
        <v>528</v>
      </c>
      <c r="B66" s="74">
        <v>27600</v>
      </c>
      <c r="C66" s="77">
        <f t="shared" ca="1" si="0"/>
        <v>50</v>
      </c>
    </row>
    <row r="67" spans="1:3" x14ac:dyDescent="0.2">
      <c r="A67" t="s">
        <v>152</v>
      </c>
      <c r="B67" s="10">
        <v>13558</v>
      </c>
      <c r="C67" s="77">
        <f t="shared" ref="C67:C130" ca="1" si="1">DATEDIF(B67,TODAY(),"Y")</f>
        <v>88</v>
      </c>
    </row>
    <row r="68" spans="1:3" x14ac:dyDescent="0.2">
      <c r="A68" t="s">
        <v>310</v>
      </c>
      <c r="B68" s="10">
        <v>19126</v>
      </c>
      <c r="C68" s="77">
        <f t="shared" ca="1" si="1"/>
        <v>73</v>
      </c>
    </row>
    <row r="69" spans="1:3" x14ac:dyDescent="0.2">
      <c r="A69" t="s">
        <v>89</v>
      </c>
      <c r="B69" s="10">
        <v>23743</v>
      </c>
      <c r="C69" s="77">
        <f t="shared" ca="1" si="1"/>
        <v>61</v>
      </c>
    </row>
    <row r="70" spans="1:3" x14ac:dyDescent="0.2">
      <c r="A70" t="s">
        <v>149</v>
      </c>
      <c r="B70" s="10">
        <v>13180</v>
      </c>
      <c r="C70" s="77">
        <f t="shared" ca="1" si="1"/>
        <v>90</v>
      </c>
    </row>
    <row r="71" spans="1:3" x14ac:dyDescent="0.2">
      <c r="A71" t="s">
        <v>156</v>
      </c>
      <c r="B71" s="10">
        <v>23808</v>
      </c>
      <c r="C71" s="77">
        <f t="shared" ca="1" si="1"/>
        <v>60</v>
      </c>
    </row>
    <row r="72" spans="1:3" x14ac:dyDescent="0.2">
      <c r="A72" s="1" t="s">
        <v>336</v>
      </c>
      <c r="B72" s="15">
        <v>21476</v>
      </c>
      <c r="C72" s="77">
        <f t="shared" ca="1" si="1"/>
        <v>67</v>
      </c>
    </row>
    <row r="73" spans="1:3" x14ac:dyDescent="0.2">
      <c r="A73" s="1" t="s">
        <v>369</v>
      </c>
      <c r="B73" s="15">
        <v>32342</v>
      </c>
      <c r="C73" s="77">
        <f t="shared" ca="1" si="1"/>
        <v>37</v>
      </c>
    </row>
    <row r="74" spans="1:3" x14ac:dyDescent="0.2">
      <c r="A74" t="s">
        <v>275</v>
      </c>
      <c r="B74" s="10">
        <v>14726</v>
      </c>
      <c r="C74" s="77">
        <f t="shared" ca="1" si="1"/>
        <v>85</v>
      </c>
    </row>
    <row r="75" spans="1:3" x14ac:dyDescent="0.2">
      <c r="A75" s="1" t="s">
        <v>224</v>
      </c>
      <c r="B75" s="15">
        <v>16032</v>
      </c>
      <c r="C75" s="77">
        <f t="shared" ca="1" si="1"/>
        <v>82</v>
      </c>
    </row>
    <row r="76" spans="1:3" x14ac:dyDescent="0.2">
      <c r="A76" t="s">
        <v>194</v>
      </c>
      <c r="B76" s="10">
        <v>28532</v>
      </c>
      <c r="C76" s="77">
        <f t="shared" ca="1" si="1"/>
        <v>47</v>
      </c>
    </row>
    <row r="77" spans="1:3" x14ac:dyDescent="0.2">
      <c r="A77" t="s">
        <v>186</v>
      </c>
      <c r="B77" s="10">
        <v>27943</v>
      </c>
      <c r="C77" s="77">
        <f t="shared" ca="1" si="1"/>
        <v>49</v>
      </c>
    </row>
    <row r="78" spans="1:3" x14ac:dyDescent="0.2">
      <c r="A78" t="s">
        <v>380</v>
      </c>
      <c r="B78" s="10">
        <v>25118</v>
      </c>
      <c r="C78" s="77">
        <f t="shared" ca="1" si="1"/>
        <v>57</v>
      </c>
    </row>
    <row r="79" spans="1:3" x14ac:dyDescent="0.2">
      <c r="A79" t="s">
        <v>321</v>
      </c>
      <c r="B79" s="10">
        <v>26019</v>
      </c>
      <c r="C79" s="77">
        <f t="shared" ca="1" si="1"/>
        <v>54</v>
      </c>
    </row>
    <row r="80" spans="1:3" x14ac:dyDescent="0.2">
      <c r="A80" t="s">
        <v>157</v>
      </c>
      <c r="B80" s="11">
        <v>1956</v>
      </c>
      <c r="C80" s="77">
        <f t="shared" ca="1" si="1"/>
        <v>120</v>
      </c>
    </row>
    <row r="81" spans="1:3" x14ac:dyDescent="0.2">
      <c r="A81" t="s">
        <v>529</v>
      </c>
      <c r="B81" s="10">
        <v>20509</v>
      </c>
      <c r="C81" s="77">
        <f t="shared" ca="1" si="1"/>
        <v>69</v>
      </c>
    </row>
    <row r="82" spans="1:3" x14ac:dyDescent="0.2">
      <c r="A82" t="s">
        <v>164</v>
      </c>
      <c r="B82" s="10">
        <v>13957</v>
      </c>
      <c r="C82" s="77">
        <f t="shared" ca="1" si="1"/>
        <v>87</v>
      </c>
    </row>
    <row r="83" spans="1:3" x14ac:dyDescent="0.2">
      <c r="A83" t="s">
        <v>277</v>
      </c>
      <c r="B83" s="10">
        <v>16447</v>
      </c>
      <c r="C83" s="77">
        <f t="shared" ca="1" si="1"/>
        <v>81</v>
      </c>
    </row>
    <row r="84" spans="1:3" x14ac:dyDescent="0.2">
      <c r="A84" t="s">
        <v>158</v>
      </c>
      <c r="B84" s="11">
        <v>1954</v>
      </c>
      <c r="C84" s="77">
        <f t="shared" ca="1" si="1"/>
        <v>120</v>
      </c>
    </row>
    <row r="85" spans="1:3" x14ac:dyDescent="0.2">
      <c r="A85" t="s">
        <v>115</v>
      </c>
      <c r="B85" s="10">
        <v>27286</v>
      </c>
      <c r="C85" s="77">
        <f t="shared" ca="1" si="1"/>
        <v>51</v>
      </c>
    </row>
    <row r="86" spans="1:3" x14ac:dyDescent="0.2">
      <c r="A86" t="s">
        <v>133</v>
      </c>
      <c r="B86" s="10">
        <v>29963</v>
      </c>
      <c r="C86" s="77">
        <f t="shared" ca="1" si="1"/>
        <v>44</v>
      </c>
    </row>
    <row r="87" spans="1:3" x14ac:dyDescent="0.2">
      <c r="A87" t="s">
        <v>199</v>
      </c>
      <c r="B87" s="10">
        <v>21268</v>
      </c>
      <c r="C87" s="77">
        <f t="shared" ca="1" si="1"/>
        <v>67</v>
      </c>
    </row>
    <row r="88" spans="1:3" x14ac:dyDescent="0.2">
      <c r="A88" s="1" t="s">
        <v>293</v>
      </c>
      <c r="B88" s="23"/>
      <c r="C88" s="77">
        <f t="shared" ca="1" si="1"/>
        <v>126</v>
      </c>
    </row>
    <row r="89" spans="1:3" x14ac:dyDescent="0.2">
      <c r="A89" t="s">
        <v>327</v>
      </c>
      <c r="B89" s="10">
        <v>30130</v>
      </c>
      <c r="C89" s="77">
        <f t="shared" ca="1" si="1"/>
        <v>43</v>
      </c>
    </row>
    <row r="90" spans="1:3" x14ac:dyDescent="0.2">
      <c r="A90" t="s">
        <v>107</v>
      </c>
      <c r="B90" s="10">
        <v>28030</v>
      </c>
      <c r="C90" s="77">
        <f t="shared" ca="1" si="1"/>
        <v>49</v>
      </c>
    </row>
    <row r="91" spans="1:3" x14ac:dyDescent="0.2">
      <c r="A91" t="s">
        <v>530</v>
      </c>
      <c r="B91" s="10">
        <v>25419</v>
      </c>
      <c r="C91" s="77">
        <f t="shared" ca="1" si="1"/>
        <v>56</v>
      </c>
    </row>
    <row r="92" spans="1:3" x14ac:dyDescent="0.2">
      <c r="A92" t="s">
        <v>168</v>
      </c>
      <c r="B92" s="10">
        <v>17253</v>
      </c>
      <c r="C92" s="77">
        <f t="shared" ca="1" si="1"/>
        <v>78</v>
      </c>
    </row>
    <row r="93" spans="1:3" x14ac:dyDescent="0.2">
      <c r="A93" t="s">
        <v>531</v>
      </c>
      <c r="B93" s="10">
        <v>25240</v>
      </c>
      <c r="C93" s="77">
        <f t="shared" ca="1" si="1"/>
        <v>57</v>
      </c>
    </row>
    <row r="94" spans="1:3" x14ac:dyDescent="0.2">
      <c r="A94" t="s">
        <v>532</v>
      </c>
      <c r="B94" s="10">
        <v>25240</v>
      </c>
      <c r="C94" s="77">
        <f t="shared" ca="1" si="1"/>
        <v>57</v>
      </c>
    </row>
    <row r="95" spans="1:3" x14ac:dyDescent="0.2">
      <c r="A95" s="1" t="s">
        <v>209</v>
      </c>
      <c r="B95" s="15">
        <v>16444</v>
      </c>
      <c r="C95" s="77">
        <f t="shared" ca="1" si="1"/>
        <v>81</v>
      </c>
    </row>
    <row r="96" spans="1:3" x14ac:dyDescent="0.2">
      <c r="A96" s="1" t="s">
        <v>229</v>
      </c>
      <c r="B96" s="23">
        <v>1968</v>
      </c>
      <c r="C96" s="77">
        <f t="shared" ca="1" si="1"/>
        <v>120</v>
      </c>
    </row>
    <row r="97" spans="1:3" x14ac:dyDescent="0.2">
      <c r="A97" s="1" t="s">
        <v>533</v>
      </c>
      <c r="B97" s="15">
        <v>21291</v>
      </c>
      <c r="C97" s="77">
        <f t="shared" ca="1" si="1"/>
        <v>67</v>
      </c>
    </row>
    <row r="98" spans="1:3" x14ac:dyDescent="0.2">
      <c r="A98" s="1" t="s">
        <v>215</v>
      </c>
      <c r="B98" s="23"/>
      <c r="C98" s="77">
        <f t="shared" ca="1" si="1"/>
        <v>126</v>
      </c>
    </row>
    <row r="99" spans="1:3" x14ac:dyDescent="0.2">
      <c r="A99" s="1" t="s">
        <v>328</v>
      </c>
      <c r="B99" s="15">
        <v>25631</v>
      </c>
      <c r="C99" s="77">
        <f t="shared" ca="1" si="1"/>
        <v>55</v>
      </c>
    </row>
    <row r="100" spans="1:3" x14ac:dyDescent="0.2">
      <c r="A100" s="1" t="s">
        <v>534</v>
      </c>
      <c r="B100" s="15">
        <v>28044</v>
      </c>
      <c r="C100" s="77">
        <f t="shared" ca="1" si="1"/>
        <v>49</v>
      </c>
    </row>
    <row r="101" spans="1:3" x14ac:dyDescent="0.2">
      <c r="A101" t="s">
        <v>323</v>
      </c>
      <c r="B101" s="10">
        <v>26473</v>
      </c>
      <c r="C101" s="77">
        <f t="shared" ca="1" si="1"/>
        <v>53</v>
      </c>
    </row>
    <row r="102" spans="1:3" x14ac:dyDescent="0.2">
      <c r="A102" t="s">
        <v>351</v>
      </c>
      <c r="B102" s="10">
        <v>26956</v>
      </c>
      <c r="C102" s="77">
        <f t="shared" ca="1" si="1"/>
        <v>52</v>
      </c>
    </row>
    <row r="103" spans="1:3" x14ac:dyDescent="0.2">
      <c r="A103" s="58" t="s">
        <v>136</v>
      </c>
      <c r="B103" s="10">
        <v>25792</v>
      </c>
      <c r="C103" s="77">
        <f t="shared" ca="1" si="1"/>
        <v>55</v>
      </c>
    </row>
    <row r="104" spans="1:3" x14ac:dyDescent="0.2">
      <c r="A104" t="s">
        <v>66</v>
      </c>
      <c r="B104" s="11">
        <v>1941</v>
      </c>
      <c r="C104" s="77">
        <f t="shared" ca="1" si="1"/>
        <v>120</v>
      </c>
    </row>
    <row r="105" spans="1:3" x14ac:dyDescent="0.2">
      <c r="A105" t="s">
        <v>90</v>
      </c>
      <c r="B105" s="10">
        <v>20038</v>
      </c>
      <c r="C105" s="77">
        <f t="shared" ca="1" si="1"/>
        <v>71</v>
      </c>
    </row>
    <row r="106" spans="1:3" x14ac:dyDescent="0.2">
      <c r="A106" t="s">
        <v>372</v>
      </c>
      <c r="B106" s="10">
        <v>19748</v>
      </c>
      <c r="C106" s="77">
        <f t="shared" ca="1" si="1"/>
        <v>72</v>
      </c>
    </row>
    <row r="107" spans="1:3" x14ac:dyDescent="0.2">
      <c r="A107" s="58" t="s">
        <v>139</v>
      </c>
      <c r="B107" s="10">
        <v>18629</v>
      </c>
      <c r="C107" s="77">
        <f t="shared" ca="1" si="1"/>
        <v>75</v>
      </c>
    </row>
    <row r="108" spans="1:3" x14ac:dyDescent="0.2">
      <c r="A108" t="s">
        <v>85</v>
      </c>
      <c r="B108" s="11">
        <v>1934</v>
      </c>
      <c r="C108" s="77">
        <f t="shared" ca="1" si="1"/>
        <v>120</v>
      </c>
    </row>
    <row r="109" spans="1:3" x14ac:dyDescent="0.2">
      <c r="A109" s="58" t="s">
        <v>132</v>
      </c>
      <c r="B109" s="11">
        <v>1963</v>
      </c>
      <c r="C109" s="77">
        <f t="shared" ca="1" si="1"/>
        <v>120</v>
      </c>
    </row>
    <row r="110" spans="1:3" x14ac:dyDescent="0.2">
      <c r="A110" s="1" t="s">
        <v>103</v>
      </c>
      <c r="B110" s="53">
        <v>27556</v>
      </c>
      <c r="C110" s="77">
        <f t="shared" ca="1" si="1"/>
        <v>50</v>
      </c>
    </row>
    <row r="111" spans="1:3" x14ac:dyDescent="0.2">
      <c r="A111" s="1" t="s">
        <v>535</v>
      </c>
      <c r="B111" s="15">
        <v>24725</v>
      </c>
      <c r="C111" s="77">
        <f t="shared" ca="1" si="1"/>
        <v>58</v>
      </c>
    </row>
    <row r="112" spans="1:3" x14ac:dyDescent="0.2">
      <c r="A112" t="s">
        <v>165</v>
      </c>
      <c r="B112" s="10">
        <v>25882</v>
      </c>
      <c r="C112" s="77">
        <f t="shared" ca="1" si="1"/>
        <v>55</v>
      </c>
    </row>
    <row r="113" spans="1:3" x14ac:dyDescent="0.2">
      <c r="A113" t="s">
        <v>536</v>
      </c>
      <c r="B113" s="10">
        <v>29462</v>
      </c>
      <c r="C113" s="77">
        <f t="shared" ca="1" si="1"/>
        <v>45</v>
      </c>
    </row>
    <row r="114" spans="1:3" x14ac:dyDescent="0.2">
      <c r="A114" t="s">
        <v>65</v>
      </c>
      <c r="B114" s="10">
        <v>28219</v>
      </c>
      <c r="C114" s="77">
        <f t="shared" ca="1" si="1"/>
        <v>48</v>
      </c>
    </row>
    <row r="115" spans="1:3" x14ac:dyDescent="0.2">
      <c r="A115" s="1" t="s">
        <v>259</v>
      </c>
      <c r="B115" s="15">
        <v>28254</v>
      </c>
      <c r="C115" s="77">
        <f t="shared" ca="1" si="1"/>
        <v>48</v>
      </c>
    </row>
    <row r="116" spans="1:3" x14ac:dyDescent="0.2">
      <c r="A116" t="s">
        <v>537</v>
      </c>
      <c r="B116" s="10">
        <v>19385</v>
      </c>
      <c r="C116" s="77">
        <f t="shared" ca="1" si="1"/>
        <v>73</v>
      </c>
    </row>
    <row r="117" spans="1:3" x14ac:dyDescent="0.2">
      <c r="A117" t="s">
        <v>38</v>
      </c>
      <c r="B117" s="11">
        <v>1924</v>
      </c>
      <c r="C117" s="77">
        <f t="shared" ca="1" si="1"/>
        <v>120</v>
      </c>
    </row>
    <row r="118" spans="1:3" x14ac:dyDescent="0.2">
      <c r="A118" t="s">
        <v>116</v>
      </c>
      <c r="B118" s="10">
        <v>19587</v>
      </c>
      <c r="C118" s="77">
        <f t="shared" ca="1" si="1"/>
        <v>72</v>
      </c>
    </row>
    <row r="119" spans="1:3" x14ac:dyDescent="0.2">
      <c r="A119" t="s">
        <v>18</v>
      </c>
      <c r="B119" s="10">
        <v>25083</v>
      </c>
      <c r="C119" s="77">
        <f t="shared" ca="1" si="1"/>
        <v>57</v>
      </c>
    </row>
    <row r="120" spans="1:3" x14ac:dyDescent="0.2">
      <c r="A120" t="s">
        <v>150</v>
      </c>
      <c r="B120" s="10">
        <v>16314</v>
      </c>
      <c r="C120" s="77">
        <f t="shared" ca="1" si="1"/>
        <v>81</v>
      </c>
    </row>
    <row r="121" spans="1:3" x14ac:dyDescent="0.2">
      <c r="A121" t="s">
        <v>538</v>
      </c>
      <c r="B121" s="10">
        <v>28895</v>
      </c>
      <c r="C121" s="77">
        <f t="shared" ca="1" si="1"/>
        <v>46</v>
      </c>
    </row>
    <row r="122" spans="1:3" x14ac:dyDescent="0.2">
      <c r="A122" t="s">
        <v>539</v>
      </c>
      <c r="B122" s="10">
        <v>18023</v>
      </c>
      <c r="C122" s="77">
        <f t="shared" ca="1" si="1"/>
        <v>76</v>
      </c>
    </row>
    <row r="123" spans="1:3" x14ac:dyDescent="0.2">
      <c r="A123" t="s">
        <v>110</v>
      </c>
      <c r="B123" s="10">
        <v>13492</v>
      </c>
      <c r="C123" s="77">
        <f t="shared" ca="1" si="1"/>
        <v>89</v>
      </c>
    </row>
    <row r="124" spans="1:3" x14ac:dyDescent="0.2">
      <c r="A124" t="s">
        <v>91</v>
      </c>
      <c r="B124" s="10">
        <v>20696</v>
      </c>
      <c r="C124" s="77">
        <f t="shared" ca="1" si="1"/>
        <v>69</v>
      </c>
    </row>
    <row r="125" spans="1:3" x14ac:dyDescent="0.2">
      <c r="A125" t="s">
        <v>151</v>
      </c>
      <c r="B125" s="11">
        <v>1940</v>
      </c>
      <c r="C125" s="77">
        <f t="shared" ca="1" si="1"/>
        <v>120</v>
      </c>
    </row>
    <row r="126" spans="1:3" x14ac:dyDescent="0.2">
      <c r="A126" t="s">
        <v>47</v>
      </c>
      <c r="B126" s="10">
        <v>19231</v>
      </c>
      <c r="C126" s="77">
        <f t="shared" ca="1" si="1"/>
        <v>73</v>
      </c>
    </row>
    <row r="127" spans="1:3" x14ac:dyDescent="0.2">
      <c r="A127" s="1" t="s">
        <v>241</v>
      </c>
      <c r="B127" s="15">
        <v>24465</v>
      </c>
      <c r="C127" s="77">
        <f t="shared" ca="1" si="1"/>
        <v>59</v>
      </c>
    </row>
    <row r="128" spans="1:3" x14ac:dyDescent="0.2">
      <c r="A128" t="s">
        <v>540</v>
      </c>
      <c r="B128" s="10">
        <v>12579</v>
      </c>
      <c r="C128" s="77">
        <f t="shared" ca="1" si="1"/>
        <v>91</v>
      </c>
    </row>
    <row r="129" spans="1:3" x14ac:dyDescent="0.2">
      <c r="A129" s="1" t="s">
        <v>243</v>
      </c>
      <c r="B129" s="23"/>
      <c r="C129" s="77">
        <f t="shared" ca="1" si="1"/>
        <v>126</v>
      </c>
    </row>
    <row r="130" spans="1:3" x14ac:dyDescent="0.2">
      <c r="A130" s="1" t="s">
        <v>541</v>
      </c>
      <c r="B130" s="15">
        <v>25706</v>
      </c>
      <c r="C130" s="77">
        <f t="shared" ca="1" si="1"/>
        <v>55</v>
      </c>
    </row>
    <row r="131" spans="1:3" ht="16" x14ac:dyDescent="0.2">
      <c r="A131" s="60" t="s">
        <v>542</v>
      </c>
      <c r="B131" s="75">
        <v>24654</v>
      </c>
      <c r="C131" s="77">
        <f t="shared" ref="C131:C194" ca="1" si="2">DATEDIF(B131,TODAY(),"Y")</f>
        <v>58</v>
      </c>
    </row>
    <row r="132" spans="1:3" x14ac:dyDescent="0.2">
      <c r="A132" s="1" t="s">
        <v>226</v>
      </c>
      <c r="B132" s="15">
        <v>28346</v>
      </c>
      <c r="C132" s="77">
        <f t="shared" ca="1" si="2"/>
        <v>48</v>
      </c>
    </row>
    <row r="133" spans="1:3" x14ac:dyDescent="0.2">
      <c r="A133" t="s">
        <v>543</v>
      </c>
      <c r="B133" s="10">
        <v>13801</v>
      </c>
      <c r="C133" s="77">
        <f t="shared" ca="1" si="2"/>
        <v>88</v>
      </c>
    </row>
    <row r="134" spans="1:3" x14ac:dyDescent="0.2">
      <c r="A134" t="s">
        <v>304</v>
      </c>
      <c r="B134" s="10">
        <v>31846</v>
      </c>
      <c r="C134" s="77">
        <f t="shared" ca="1" si="2"/>
        <v>38</v>
      </c>
    </row>
    <row r="135" spans="1:3" x14ac:dyDescent="0.2">
      <c r="A135" t="s">
        <v>153</v>
      </c>
      <c r="B135" s="10">
        <v>19228</v>
      </c>
      <c r="C135" s="77">
        <f t="shared" ca="1" si="2"/>
        <v>73</v>
      </c>
    </row>
    <row r="136" spans="1:3" x14ac:dyDescent="0.2">
      <c r="A136" t="s">
        <v>324</v>
      </c>
      <c r="B136" s="10">
        <v>21121</v>
      </c>
      <c r="C136" s="77">
        <f t="shared" ca="1" si="2"/>
        <v>68</v>
      </c>
    </row>
    <row r="137" spans="1:3" x14ac:dyDescent="0.2">
      <c r="A137" t="s">
        <v>402</v>
      </c>
      <c r="B137" s="10">
        <v>16283</v>
      </c>
      <c r="C137" s="77">
        <f t="shared" ca="1" si="2"/>
        <v>81</v>
      </c>
    </row>
    <row r="138" spans="1:3" x14ac:dyDescent="0.2">
      <c r="A138" t="s">
        <v>84</v>
      </c>
      <c r="B138" s="10">
        <v>16742</v>
      </c>
      <c r="C138" s="77">
        <f t="shared" ca="1" si="2"/>
        <v>80</v>
      </c>
    </row>
    <row r="139" spans="1:3" x14ac:dyDescent="0.2">
      <c r="A139" s="58" t="s">
        <v>160</v>
      </c>
      <c r="B139" s="10">
        <v>22923</v>
      </c>
      <c r="C139" s="77">
        <f t="shared" ca="1" si="2"/>
        <v>63</v>
      </c>
    </row>
    <row r="140" spans="1:3" x14ac:dyDescent="0.2">
      <c r="A140" t="s">
        <v>544</v>
      </c>
      <c r="B140" s="10">
        <v>26436</v>
      </c>
      <c r="C140" s="77">
        <f t="shared" ca="1" si="2"/>
        <v>53</v>
      </c>
    </row>
    <row r="141" spans="1:3" x14ac:dyDescent="0.2">
      <c r="A141" t="s">
        <v>203</v>
      </c>
      <c r="B141" s="10">
        <v>22301</v>
      </c>
      <c r="C141" s="77">
        <f t="shared" ca="1" si="2"/>
        <v>65</v>
      </c>
    </row>
    <row r="142" spans="1:3" x14ac:dyDescent="0.2">
      <c r="A142" t="s">
        <v>42</v>
      </c>
      <c r="B142" s="10">
        <v>10618</v>
      </c>
      <c r="C142" s="77">
        <f t="shared" ca="1" si="2"/>
        <v>97</v>
      </c>
    </row>
    <row r="143" spans="1:3" x14ac:dyDescent="0.2">
      <c r="A143" t="s">
        <v>545</v>
      </c>
      <c r="B143" s="10">
        <v>16000</v>
      </c>
      <c r="C143" s="77">
        <f t="shared" ca="1" si="2"/>
        <v>82</v>
      </c>
    </row>
    <row r="144" spans="1:3" x14ac:dyDescent="0.2">
      <c r="A144" t="s">
        <v>25</v>
      </c>
      <c r="B144" s="11">
        <v>1956</v>
      </c>
      <c r="C144" s="77">
        <f t="shared" ca="1" si="2"/>
        <v>120</v>
      </c>
    </row>
    <row r="145" spans="1:3" x14ac:dyDescent="0.2">
      <c r="A145" t="s">
        <v>546</v>
      </c>
      <c r="B145" s="10">
        <v>24877</v>
      </c>
      <c r="C145" s="77">
        <f t="shared" ca="1" si="2"/>
        <v>57</v>
      </c>
    </row>
    <row r="146" spans="1:3" x14ac:dyDescent="0.2">
      <c r="A146" s="1" t="s">
        <v>231</v>
      </c>
      <c r="B146" s="23">
        <v>1977</v>
      </c>
      <c r="C146" s="77">
        <f t="shared" ca="1" si="2"/>
        <v>120</v>
      </c>
    </row>
    <row r="147" spans="1:3" x14ac:dyDescent="0.2">
      <c r="A147" s="1" t="s">
        <v>254</v>
      </c>
      <c r="B147" s="15">
        <v>18954</v>
      </c>
      <c r="C147" s="77">
        <f t="shared" ca="1" si="2"/>
        <v>74</v>
      </c>
    </row>
    <row r="148" spans="1:3" x14ac:dyDescent="0.2">
      <c r="A148" s="1" t="s">
        <v>361</v>
      </c>
      <c r="B148" s="15">
        <v>19738</v>
      </c>
      <c r="C148" s="77">
        <f t="shared" ca="1" si="2"/>
        <v>72</v>
      </c>
    </row>
    <row r="149" spans="1:3" x14ac:dyDescent="0.2">
      <c r="A149" s="1" t="s">
        <v>257</v>
      </c>
      <c r="B149" s="15">
        <v>27505</v>
      </c>
      <c r="C149" s="77">
        <f t="shared" ca="1" si="2"/>
        <v>50</v>
      </c>
    </row>
    <row r="150" spans="1:3" x14ac:dyDescent="0.2">
      <c r="A150" s="1" t="s">
        <v>311</v>
      </c>
      <c r="B150" s="23">
        <v>1977</v>
      </c>
      <c r="C150" s="77">
        <f t="shared" ca="1" si="2"/>
        <v>120</v>
      </c>
    </row>
    <row r="151" spans="1:3" x14ac:dyDescent="0.2">
      <c r="A151" s="1" t="s">
        <v>208</v>
      </c>
      <c r="B151" s="15">
        <v>24543</v>
      </c>
      <c r="C151" s="77">
        <f t="shared" ca="1" si="2"/>
        <v>58</v>
      </c>
    </row>
    <row r="152" spans="1:3" x14ac:dyDescent="0.2">
      <c r="A152" s="1" t="s">
        <v>547</v>
      </c>
      <c r="B152" s="15">
        <v>29177</v>
      </c>
      <c r="C152" s="77">
        <f t="shared" ca="1" si="2"/>
        <v>46</v>
      </c>
    </row>
    <row r="153" spans="1:3" x14ac:dyDescent="0.2">
      <c r="A153" s="1" t="s">
        <v>222</v>
      </c>
      <c r="B153" s="15">
        <v>27378</v>
      </c>
      <c r="C153" s="77">
        <f t="shared" ca="1" si="2"/>
        <v>51</v>
      </c>
    </row>
    <row r="154" spans="1:3" x14ac:dyDescent="0.2">
      <c r="A154" s="1" t="s">
        <v>127</v>
      </c>
      <c r="B154" s="15">
        <v>24310</v>
      </c>
      <c r="C154" s="77">
        <f t="shared" ca="1" si="2"/>
        <v>59</v>
      </c>
    </row>
    <row r="155" spans="1:3" x14ac:dyDescent="0.2">
      <c r="A155" s="1" t="s">
        <v>210</v>
      </c>
      <c r="B155" s="15">
        <v>13881</v>
      </c>
      <c r="C155" s="77">
        <f t="shared" ca="1" si="2"/>
        <v>88</v>
      </c>
    </row>
    <row r="156" spans="1:3" x14ac:dyDescent="0.2">
      <c r="A156" s="1" t="s">
        <v>387</v>
      </c>
      <c r="B156" s="15">
        <v>23473</v>
      </c>
      <c r="C156" s="77">
        <f t="shared" ca="1" si="2"/>
        <v>61</v>
      </c>
    </row>
    <row r="157" spans="1:3" x14ac:dyDescent="0.2">
      <c r="A157" s="1" t="s">
        <v>225</v>
      </c>
      <c r="B157" s="23">
        <v>1954</v>
      </c>
      <c r="C157" s="77">
        <f t="shared" ca="1" si="2"/>
        <v>120</v>
      </c>
    </row>
    <row r="158" spans="1:3" x14ac:dyDescent="0.2">
      <c r="A158" s="1" t="s">
        <v>273</v>
      </c>
      <c r="B158" s="15">
        <v>27290</v>
      </c>
      <c r="C158" s="77">
        <f t="shared" ca="1" si="2"/>
        <v>51</v>
      </c>
    </row>
    <row r="159" spans="1:3" x14ac:dyDescent="0.2">
      <c r="A159" s="58" t="s">
        <v>331</v>
      </c>
      <c r="B159" s="10">
        <v>29714</v>
      </c>
      <c r="C159" s="77">
        <f t="shared" ca="1" si="2"/>
        <v>44</v>
      </c>
    </row>
    <row r="160" spans="1:3" x14ac:dyDescent="0.2">
      <c r="A160" t="s">
        <v>30</v>
      </c>
      <c r="B160" s="10">
        <v>25005</v>
      </c>
      <c r="C160" s="77">
        <f t="shared" ca="1" si="2"/>
        <v>57</v>
      </c>
    </row>
    <row r="161" spans="1:3" x14ac:dyDescent="0.2">
      <c r="A161" t="s">
        <v>469</v>
      </c>
      <c r="B161" s="10">
        <v>23726</v>
      </c>
      <c r="C161" s="77">
        <f t="shared" ca="1" si="2"/>
        <v>61</v>
      </c>
    </row>
    <row r="162" spans="1:3" x14ac:dyDescent="0.2">
      <c r="A162" s="1" t="s">
        <v>548</v>
      </c>
      <c r="B162" s="15">
        <v>26057</v>
      </c>
      <c r="C162" s="77">
        <f t="shared" ca="1" si="2"/>
        <v>54</v>
      </c>
    </row>
    <row r="163" spans="1:3" x14ac:dyDescent="0.2">
      <c r="A163" t="s">
        <v>169</v>
      </c>
      <c r="B163" s="10">
        <v>13945</v>
      </c>
      <c r="C163" s="77">
        <f t="shared" ca="1" si="2"/>
        <v>87</v>
      </c>
    </row>
    <row r="164" spans="1:3" x14ac:dyDescent="0.2">
      <c r="A164" s="1" t="s">
        <v>299</v>
      </c>
      <c r="B164" s="15">
        <v>23773</v>
      </c>
      <c r="C164" s="77">
        <f t="shared" ca="1" si="2"/>
        <v>61</v>
      </c>
    </row>
    <row r="165" spans="1:3" x14ac:dyDescent="0.2">
      <c r="A165" t="s">
        <v>73</v>
      </c>
      <c r="B165" s="11">
        <v>1954</v>
      </c>
      <c r="C165" s="77">
        <f t="shared" ca="1" si="2"/>
        <v>120</v>
      </c>
    </row>
    <row r="166" spans="1:3" x14ac:dyDescent="0.2">
      <c r="A166" t="s">
        <v>112</v>
      </c>
      <c r="B166" s="10">
        <v>16083</v>
      </c>
      <c r="C166" s="77">
        <f t="shared" ca="1" si="2"/>
        <v>82</v>
      </c>
    </row>
    <row r="167" spans="1:3" x14ac:dyDescent="0.2">
      <c r="A167" t="s">
        <v>176</v>
      </c>
      <c r="B167" s="11">
        <v>1934</v>
      </c>
      <c r="C167" s="77">
        <f t="shared" ca="1" si="2"/>
        <v>120</v>
      </c>
    </row>
    <row r="168" spans="1:3" x14ac:dyDescent="0.2">
      <c r="A168" t="s">
        <v>141</v>
      </c>
      <c r="B168" s="10">
        <v>30060</v>
      </c>
      <c r="C168" s="77">
        <f t="shared" ca="1" si="2"/>
        <v>43</v>
      </c>
    </row>
    <row r="169" spans="1:3" x14ac:dyDescent="0.2">
      <c r="A169" t="s">
        <v>318</v>
      </c>
      <c r="B169" s="10">
        <v>22488</v>
      </c>
      <c r="C169" s="77">
        <f t="shared" ca="1" si="2"/>
        <v>64</v>
      </c>
    </row>
    <row r="170" spans="1:3" x14ac:dyDescent="0.2">
      <c r="A170" t="s">
        <v>386</v>
      </c>
      <c r="B170" s="13">
        <v>25099</v>
      </c>
      <c r="C170" s="77">
        <f t="shared" ca="1" si="2"/>
        <v>57</v>
      </c>
    </row>
    <row r="171" spans="1:3" x14ac:dyDescent="0.2">
      <c r="A171" t="s">
        <v>177</v>
      </c>
      <c r="B171" s="10">
        <v>12546</v>
      </c>
      <c r="C171" s="77">
        <f t="shared" ca="1" si="2"/>
        <v>91</v>
      </c>
    </row>
    <row r="172" spans="1:3" x14ac:dyDescent="0.2">
      <c r="A172" s="1" t="s">
        <v>249</v>
      </c>
      <c r="B172" s="15">
        <v>24998</v>
      </c>
      <c r="C172" s="77">
        <f t="shared" ca="1" si="2"/>
        <v>57</v>
      </c>
    </row>
    <row r="173" spans="1:3" x14ac:dyDescent="0.2">
      <c r="A173" t="s">
        <v>102</v>
      </c>
      <c r="B173" s="11">
        <v>1941</v>
      </c>
      <c r="C173" s="77">
        <f t="shared" ca="1" si="2"/>
        <v>120</v>
      </c>
    </row>
    <row r="174" spans="1:3" x14ac:dyDescent="0.2">
      <c r="A174" t="s">
        <v>549</v>
      </c>
      <c r="B174" s="10">
        <v>26404</v>
      </c>
      <c r="C174" s="77">
        <f t="shared" ca="1" si="2"/>
        <v>53</v>
      </c>
    </row>
    <row r="175" spans="1:3" x14ac:dyDescent="0.2">
      <c r="A175" t="s">
        <v>196</v>
      </c>
      <c r="B175" s="10">
        <v>24705</v>
      </c>
      <c r="C175" s="77">
        <f t="shared" ca="1" si="2"/>
        <v>58</v>
      </c>
    </row>
    <row r="176" spans="1:3" x14ac:dyDescent="0.2">
      <c r="A176" t="s">
        <v>75</v>
      </c>
      <c r="B176" s="11">
        <v>1942</v>
      </c>
      <c r="C176" s="77">
        <f t="shared" ca="1" si="2"/>
        <v>120</v>
      </c>
    </row>
    <row r="177" spans="1:3" x14ac:dyDescent="0.2">
      <c r="A177" t="s">
        <v>6</v>
      </c>
      <c r="B177" s="10">
        <v>28150</v>
      </c>
      <c r="C177" s="77">
        <f t="shared" ca="1" si="2"/>
        <v>49</v>
      </c>
    </row>
    <row r="178" spans="1:3" x14ac:dyDescent="0.2">
      <c r="A178" t="s">
        <v>140</v>
      </c>
      <c r="B178" s="10">
        <v>15073</v>
      </c>
      <c r="C178" s="77">
        <f t="shared" ca="1" si="2"/>
        <v>84</v>
      </c>
    </row>
    <row r="179" spans="1:3" x14ac:dyDescent="0.2">
      <c r="A179" t="s">
        <v>483</v>
      </c>
      <c r="B179" s="10">
        <v>25478</v>
      </c>
      <c r="C179" s="77">
        <f t="shared" ca="1" si="2"/>
        <v>56</v>
      </c>
    </row>
    <row r="180" spans="1:3" x14ac:dyDescent="0.2">
      <c r="A180" t="s">
        <v>173</v>
      </c>
      <c r="B180" s="11">
        <v>1943</v>
      </c>
      <c r="C180" s="77">
        <f t="shared" ca="1" si="2"/>
        <v>120</v>
      </c>
    </row>
    <row r="181" spans="1:3" x14ac:dyDescent="0.2">
      <c r="A181" t="s">
        <v>550</v>
      </c>
      <c r="B181" s="10">
        <v>24468</v>
      </c>
      <c r="C181" s="77">
        <f t="shared" ca="1" si="2"/>
        <v>59</v>
      </c>
    </row>
    <row r="182" spans="1:3" x14ac:dyDescent="0.2">
      <c r="A182" s="4" t="s">
        <v>291</v>
      </c>
      <c r="B182" s="15">
        <v>31492</v>
      </c>
      <c r="C182" s="77">
        <f t="shared" ca="1" si="2"/>
        <v>39</v>
      </c>
    </row>
    <row r="183" spans="1:3" x14ac:dyDescent="0.2">
      <c r="A183" s="1" t="s">
        <v>343</v>
      </c>
      <c r="B183" s="15">
        <v>27948</v>
      </c>
      <c r="C183" s="77">
        <f t="shared" ca="1" si="2"/>
        <v>49</v>
      </c>
    </row>
    <row r="184" spans="1:3" x14ac:dyDescent="0.2">
      <c r="A184" t="s">
        <v>82</v>
      </c>
      <c r="B184" s="10">
        <v>21123</v>
      </c>
      <c r="C184" s="77">
        <f t="shared" ca="1" si="2"/>
        <v>68</v>
      </c>
    </row>
    <row r="185" spans="1:3" x14ac:dyDescent="0.2">
      <c r="A185" t="s">
        <v>45</v>
      </c>
      <c r="B185" s="10">
        <v>5645</v>
      </c>
      <c r="C185" s="77">
        <f t="shared" ca="1" si="2"/>
        <v>110</v>
      </c>
    </row>
    <row r="186" spans="1:3" x14ac:dyDescent="0.2">
      <c r="A186" s="1" t="s">
        <v>363</v>
      </c>
      <c r="B186" s="15">
        <v>23056</v>
      </c>
      <c r="C186" s="77">
        <f t="shared" ca="1" si="2"/>
        <v>62</v>
      </c>
    </row>
    <row r="187" spans="1:3" x14ac:dyDescent="0.2">
      <c r="A187" s="1" t="s">
        <v>371</v>
      </c>
      <c r="B187" s="15">
        <v>25332</v>
      </c>
      <c r="C187" s="77">
        <f t="shared" ca="1" si="2"/>
        <v>56</v>
      </c>
    </row>
    <row r="188" spans="1:3" x14ac:dyDescent="0.2">
      <c r="A188" s="1" t="s">
        <v>242</v>
      </c>
      <c r="B188" s="15">
        <v>25489</v>
      </c>
      <c r="C188" s="77">
        <f t="shared" ca="1" si="2"/>
        <v>56</v>
      </c>
    </row>
    <row r="189" spans="1:3" x14ac:dyDescent="0.2">
      <c r="A189" t="s">
        <v>551</v>
      </c>
      <c r="B189" s="76">
        <v>28146</v>
      </c>
      <c r="C189" s="77">
        <f t="shared" ca="1" si="2"/>
        <v>49</v>
      </c>
    </row>
    <row r="190" spans="1:3" x14ac:dyDescent="0.2">
      <c r="A190" t="s">
        <v>70</v>
      </c>
      <c r="B190" s="10">
        <v>5706</v>
      </c>
      <c r="C190" s="77">
        <f t="shared" ca="1" si="2"/>
        <v>110</v>
      </c>
    </row>
    <row r="191" spans="1:3" x14ac:dyDescent="0.2">
      <c r="A191" t="s">
        <v>303</v>
      </c>
      <c r="B191" s="10">
        <v>24348</v>
      </c>
      <c r="C191" s="77">
        <f t="shared" ca="1" si="2"/>
        <v>59</v>
      </c>
    </row>
    <row r="192" spans="1:3" x14ac:dyDescent="0.2">
      <c r="A192" t="s">
        <v>62</v>
      </c>
      <c r="B192" s="10">
        <v>12320</v>
      </c>
      <c r="C192" s="77">
        <f t="shared" ca="1" si="2"/>
        <v>92</v>
      </c>
    </row>
    <row r="193" spans="1:3" x14ac:dyDescent="0.2">
      <c r="A193" t="s">
        <v>58</v>
      </c>
      <c r="B193" s="10">
        <v>10677</v>
      </c>
      <c r="C193" s="77">
        <f t="shared" ca="1" si="2"/>
        <v>96</v>
      </c>
    </row>
    <row r="194" spans="1:3" x14ac:dyDescent="0.2">
      <c r="A194" t="s">
        <v>79</v>
      </c>
      <c r="B194" s="11">
        <v>1969</v>
      </c>
      <c r="C194" s="77">
        <f t="shared" ca="1" si="2"/>
        <v>120</v>
      </c>
    </row>
    <row r="195" spans="1:3" x14ac:dyDescent="0.2">
      <c r="A195" t="s">
        <v>329</v>
      </c>
      <c r="B195" s="10">
        <v>32103</v>
      </c>
      <c r="C195" s="77">
        <f t="shared" ref="C195:C258" ca="1" si="3">DATEDIF(B195,TODAY(),"Y")</f>
        <v>38</v>
      </c>
    </row>
    <row r="196" spans="1:3" x14ac:dyDescent="0.2">
      <c r="A196" t="s">
        <v>335</v>
      </c>
      <c r="B196" s="13">
        <v>29177</v>
      </c>
      <c r="C196" s="77">
        <f t="shared" ca="1" si="3"/>
        <v>46</v>
      </c>
    </row>
    <row r="197" spans="1:3" x14ac:dyDescent="0.2">
      <c r="A197" t="s">
        <v>552</v>
      </c>
      <c r="B197" s="10">
        <v>22206</v>
      </c>
      <c r="C197" s="77">
        <f t="shared" ca="1" si="3"/>
        <v>65</v>
      </c>
    </row>
    <row r="198" spans="1:3" x14ac:dyDescent="0.2">
      <c r="A198" t="s">
        <v>300</v>
      </c>
      <c r="B198" s="10">
        <v>18916</v>
      </c>
      <c r="C198" s="77">
        <f t="shared" ca="1" si="3"/>
        <v>74</v>
      </c>
    </row>
    <row r="199" spans="1:3" x14ac:dyDescent="0.2">
      <c r="A199" s="1" t="s">
        <v>205</v>
      </c>
      <c r="B199" s="15">
        <v>23830</v>
      </c>
      <c r="C199" s="77">
        <f t="shared" ca="1" si="3"/>
        <v>60</v>
      </c>
    </row>
    <row r="200" spans="1:3" x14ac:dyDescent="0.2">
      <c r="A200" s="1" t="s">
        <v>246</v>
      </c>
      <c r="B200" s="15">
        <v>24738</v>
      </c>
      <c r="C200" s="77">
        <f t="shared" ca="1" si="3"/>
        <v>58</v>
      </c>
    </row>
    <row r="201" spans="1:3" x14ac:dyDescent="0.2">
      <c r="A201" s="1" t="s">
        <v>233</v>
      </c>
      <c r="B201" s="15">
        <v>16952</v>
      </c>
      <c r="C201" s="77">
        <f t="shared" ca="1" si="3"/>
        <v>79</v>
      </c>
    </row>
    <row r="202" spans="1:3" x14ac:dyDescent="0.2">
      <c r="A202" t="s">
        <v>155</v>
      </c>
      <c r="B202" s="10">
        <v>21398</v>
      </c>
      <c r="C202" s="77">
        <f t="shared" ca="1" si="3"/>
        <v>67</v>
      </c>
    </row>
    <row r="203" spans="1:3" x14ac:dyDescent="0.2">
      <c r="A203" t="s">
        <v>35</v>
      </c>
      <c r="B203" s="10">
        <v>17766</v>
      </c>
      <c r="C203" s="77">
        <f t="shared" ca="1" si="3"/>
        <v>77</v>
      </c>
    </row>
    <row r="204" spans="1:3" x14ac:dyDescent="0.2">
      <c r="A204" t="s">
        <v>61</v>
      </c>
      <c r="B204" s="10">
        <v>28938</v>
      </c>
      <c r="C204" s="77">
        <f t="shared" ca="1" si="3"/>
        <v>46</v>
      </c>
    </row>
    <row r="205" spans="1:3" x14ac:dyDescent="0.2">
      <c r="A205" t="s">
        <v>553</v>
      </c>
      <c r="B205" s="10">
        <v>23385</v>
      </c>
      <c r="C205" s="77">
        <f t="shared" ca="1" si="3"/>
        <v>62</v>
      </c>
    </row>
    <row r="206" spans="1:3" x14ac:dyDescent="0.2">
      <c r="A206" s="1" t="s">
        <v>399</v>
      </c>
      <c r="B206" s="15">
        <v>19178</v>
      </c>
      <c r="C206" s="77">
        <f t="shared" ca="1" si="3"/>
        <v>73</v>
      </c>
    </row>
    <row r="207" spans="1:3" x14ac:dyDescent="0.2">
      <c r="A207" s="1" t="s">
        <v>554</v>
      </c>
      <c r="B207" s="15">
        <v>19178</v>
      </c>
      <c r="C207" s="77">
        <f t="shared" ca="1" si="3"/>
        <v>73</v>
      </c>
    </row>
    <row r="208" spans="1:3" x14ac:dyDescent="0.2">
      <c r="A208" t="s">
        <v>185</v>
      </c>
      <c r="B208" s="10">
        <v>14013</v>
      </c>
      <c r="C208" s="77">
        <f t="shared" ca="1" si="3"/>
        <v>87</v>
      </c>
    </row>
    <row r="209" spans="1:3" x14ac:dyDescent="0.2">
      <c r="A209" s="1" t="s">
        <v>232</v>
      </c>
      <c r="B209" s="15">
        <v>21802</v>
      </c>
      <c r="C209" s="77">
        <f t="shared" ca="1" si="3"/>
        <v>66</v>
      </c>
    </row>
    <row r="210" spans="1:3" x14ac:dyDescent="0.2">
      <c r="A210" t="s">
        <v>138</v>
      </c>
      <c r="B210" s="10">
        <v>11291</v>
      </c>
      <c r="C210" s="77">
        <f t="shared" ca="1" si="3"/>
        <v>95</v>
      </c>
    </row>
    <row r="211" spans="1:3" x14ac:dyDescent="0.2">
      <c r="A211" t="s">
        <v>555</v>
      </c>
      <c r="B211" s="10">
        <v>22107</v>
      </c>
      <c r="C211" s="77">
        <f t="shared" ca="1" si="3"/>
        <v>65</v>
      </c>
    </row>
    <row r="212" spans="1:3" x14ac:dyDescent="0.2">
      <c r="A212" s="1" t="s">
        <v>261</v>
      </c>
      <c r="B212" s="15">
        <v>25746</v>
      </c>
      <c r="C212" s="77">
        <f t="shared" ca="1" si="3"/>
        <v>55</v>
      </c>
    </row>
    <row r="213" spans="1:3" x14ac:dyDescent="0.2">
      <c r="A213" s="1" t="s">
        <v>221</v>
      </c>
      <c r="B213" s="15">
        <v>14628</v>
      </c>
      <c r="C213" s="77">
        <f t="shared" ca="1" si="3"/>
        <v>86</v>
      </c>
    </row>
    <row r="214" spans="1:3" x14ac:dyDescent="0.2">
      <c r="A214" s="1" t="s">
        <v>348</v>
      </c>
      <c r="B214" s="15">
        <v>27948</v>
      </c>
      <c r="C214" s="77">
        <f t="shared" ca="1" si="3"/>
        <v>49</v>
      </c>
    </row>
    <row r="215" spans="1:3" x14ac:dyDescent="0.2">
      <c r="A215" s="1" t="s">
        <v>368</v>
      </c>
      <c r="B215" s="15">
        <v>27132</v>
      </c>
      <c r="C215" s="77">
        <f t="shared" ca="1" si="3"/>
        <v>51</v>
      </c>
    </row>
    <row r="216" spans="1:3" x14ac:dyDescent="0.2">
      <c r="A216" s="1" t="s">
        <v>216</v>
      </c>
      <c r="B216" s="15">
        <v>11689</v>
      </c>
      <c r="C216" s="77">
        <f t="shared" ca="1" si="3"/>
        <v>94</v>
      </c>
    </row>
    <row r="217" spans="1:3" x14ac:dyDescent="0.2">
      <c r="A217" s="1" t="s">
        <v>216</v>
      </c>
      <c r="B217" s="23">
        <v>1932</v>
      </c>
      <c r="C217" s="77">
        <f t="shared" ca="1" si="3"/>
        <v>120</v>
      </c>
    </row>
    <row r="218" spans="1:3" x14ac:dyDescent="0.2">
      <c r="A218" s="1" t="s">
        <v>262</v>
      </c>
      <c r="B218" s="15">
        <v>20939</v>
      </c>
      <c r="C218" s="77">
        <f t="shared" ca="1" si="3"/>
        <v>68</v>
      </c>
    </row>
    <row r="219" spans="1:3" x14ac:dyDescent="0.2">
      <c r="A219" s="1" t="s">
        <v>253</v>
      </c>
      <c r="B219" s="15">
        <v>22268</v>
      </c>
      <c r="C219" s="77">
        <f t="shared" ca="1" si="3"/>
        <v>65</v>
      </c>
    </row>
    <row r="220" spans="1:3" x14ac:dyDescent="0.2">
      <c r="A220" s="1" t="s">
        <v>227</v>
      </c>
      <c r="B220" s="15">
        <v>23859</v>
      </c>
      <c r="C220" s="77">
        <f t="shared" ca="1" si="3"/>
        <v>60</v>
      </c>
    </row>
    <row r="221" spans="1:3" x14ac:dyDescent="0.2">
      <c r="A221" t="s">
        <v>78</v>
      </c>
      <c r="B221" s="10">
        <v>22859</v>
      </c>
      <c r="C221" s="77">
        <f t="shared" ca="1" si="3"/>
        <v>63</v>
      </c>
    </row>
    <row r="222" spans="1:3" x14ac:dyDescent="0.2">
      <c r="A222" t="s">
        <v>143</v>
      </c>
      <c r="B222" s="10">
        <v>29758</v>
      </c>
      <c r="C222" s="77">
        <f t="shared" ca="1" si="3"/>
        <v>44</v>
      </c>
    </row>
    <row r="223" spans="1:3" x14ac:dyDescent="0.2">
      <c r="A223" s="58" t="s">
        <v>154</v>
      </c>
      <c r="B223" s="11">
        <v>1964</v>
      </c>
      <c r="C223" s="77">
        <f t="shared" ca="1" si="3"/>
        <v>120</v>
      </c>
    </row>
    <row r="224" spans="1:3" x14ac:dyDescent="0.2">
      <c r="A224" t="s">
        <v>556</v>
      </c>
      <c r="B224" s="10">
        <v>21263</v>
      </c>
      <c r="C224" s="77">
        <f t="shared" ca="1" si="3"/>
        <v>67</v>
      </c>
    </row>
    <row r="225" spans="1:3" x14ac:dyDescent="0.2">
      <c r="A225" t="s">
        <v>174</v>
      </c>
      <c r="B225" s="10">
        <v>17565</v>
      </c>
      <c r="C225" s="77">
        <f t="shared" ca="1" si="3"/>
        <v>78</v>
      </c>
    </row>
    <row r="226" spans="1:3" x14ac:dyDescent="0.2">
      <c r="A226" t="s">
        <v>557</v>
      </c>
      <c r="B226" s="10">
        <v>22107</v>
      </c>
      <c r="C226" s="77">
        <f t="shared" ca="1" si="3"/>
        <v>65</v>
      </c>
    </row>
    <row r="227" spans="1:3" x14ac:dyDescent="0.2">
      <c r="A227" s="1" t="s">
        <v>123</v>
      </c>
      <c r="B227" s="15">
        <v>12394</v>
      </c>
      <c r="C227" s="77">
        <f t="shared" ca="1" si="3"/>
        <v>92</v>
      </c>
    </row>
    <row r="228" spans="1:3" x14ac:dyDescent="0.2">
      <c r="A228" s="58" t="s">
        <v>137</v>
      </c>
      <c r="B228" s="11">
        <v>1969</v>
      </c>
      <c r="C228" s="77">
        <f t="shared" ca="1" si="3"/>
        <v>120</v>
      </c>
    </row>
    <row r="229" spans="1:3" x14ac:dyDescent="0.2">
      <c r="A229" s="1" t="s">
        <v>288</v>
      </c>
      <c r="B229" s="15">
        <v>19869</v>
      </c>
      <c r="C229" s="77">
        <f t="shared" ca="1" si="3"/>
        <v>71</v>
      </c>
    </row>
    <row r="230" spans="1:3" x14ac:dyDescent="0.2">
      <c r="A230" t="s">
        <v>558</v>
      </c>
      <c r="B230" s="10">
        <v>25144</v>
      </c>
      <c r="C230" s="77">
        <f t="shared" ca="1" si="3"/>
        <v>57</v>
      </c>
    </row>
    <row r="231" spans="1:3" x14ac:dyDescent="0.2">
      <c r="A231" t="s">
        <v>142</v>
      </c>
      <c r="B231" s="10">
        <v>9118</v>
      </c>
      <c r="C231" s="77">
        <f t="shared" ca="1" si="3"/>
        <v>101</v>
      </c>
    </row>
    <row r="232" spans="1:3" x14ac:dyDescent="0.2">
      <c r="A232" t="s">
        <v>171</v>
      </c>
      <c r="B232" s="10">
        <v>17246</v>
      </c>
      <c r="C232" s="77">
        <f t="shared" ca="1" si="3"/>
        <v>78</v>
      </c>
    </row>
    <row r="233" spans="1:3" x14ac:dyDescent="0.2">
      <c r="A233" t="s">
        <v>49</v>
      </c>
      <c r="B233" s="10">
        <v>27346</v>
      </c>
      <c r="C233" s="77">
        <f t="shared" ca="1" si="3"/>
        <v>51</v>
      </c>
    </row>
    <row r="234" spans="1:3" x14ac:dyDescent="0.2">
      <c r="A234" t="s">
        <v>77</v>
      </c>
      <c r="B234" s="10">
        <v>11632</v>
      </c>
      <c r="C234" s="77">
        <f t="shared" ca="1" si="3"/>
        <v>94</v>
      </c>
    </row>
    <row r="235" spans="1:3" x14ac:dyDescent="0.2">
      <c r="A235" t="s">
        <v>183</v>
      </c>
      <c r="B235" s="10">
        <v>15220</v>
      </c>
      <c r="C235" s="77">
        <f t="shared" ca="1" si="3"/>
        <v>84</v>
      </c>
    </row>
    <row r="236" spans="1:3" x14ac:dyDescent="0.2">
      <c r="A236" s="58" t="s">
        <v>114</v>
      </c>
      <c r="B236" s="10">
        <v>12411</v>
      </c>
      <c r="C236" s="77">
        <f t="shared" ca="1" si="3"/>
        <v>92</v>
      </c>
    </row>
    <row r="237" spans="1:3" x14ac:dyDescent="0.2">
      <c r="A237" t="s">
        <v>559</v>
      </c>
      <c r="B237" s="10">
        <v>22325</v>
      </c>
      <c r="C237" s="77">
        <f t="shared" ca="1" si="3"/>
        <v>64</v>
      </c>
    </row>
    <row r="238" spans="1:3" x14ac:dyDescent="0.2">
      <c r="A238" s="1" t="s">
        <v>252</v>
      </c>
      <c r="B238" s="23">
        <v>1944</v>
      </c>
      <c r="C238" s="77">
        <f t="shared" ca="1" si="3"/>
        <v>120</v>
      </c>
    </row>
    <row r="239" spans="1:3" x14ac:dyDescent="0.2">
      <c r="A239" t="s">
        <v>471</v>
      </c>
      <c r="B239" s="10">
        <v>21774</v>
      </c>
      <c r="C239" s="77">
        <f t="shared" ca="1" si="3"/>
        <v>66</v>
      </c>
    </row>
    <row r="240" spans="1:3" x14ac:dyDescent="0.2">
      <c r="A240" s="1" t="s">
        <v>236</v>
      </c>
      <c r="B240" s="15">
        <v>27803</v>
      </c>
      <c r="C240" s="77">
        <f t="shared" ca="1" si="3"/>
        <v>49</v>
      </c>
    </row>
    <row r="241" spans="1:3" x14ac:dyDescent="0.2">
      <c r="A241" s="1" t="s">
        <v>287</v>
      </c>
      <c r="B241" s="15">
        <v>25334</v>
      </c>
      <c r="C241" s="77">
        <f t="shared" ca="1" si="3"/>
        <v>56</v>
      </c>
    </row>
    <row r="242" spans="1:3" x14ac:dyDescent="0.2">
      <c r="A242" s="1" t="s">
        <v>560</v>
      </c>
      <c r="B242" s="15">
        <v>29028</v>
      </c>
      <c r="C242" s="77">
        <f t="shared" ca="1" si="3"/>
        <v>46</v>
      </c>
    </row>
    <row r="243" spans="1:3" x14ac:dyDescent="0.2">
      <c r="A243" s="1" t="s">
        <v>128</v>
      </c>
      <c r="B243" s="15">
        <v>25934</v>
      </c>
      <c r="C243" s="77">
        <f t="shared" ca="1" si="3"/>
        <v>55</v>
      </c>
    </row>
    <row r="244" spans="1:3" x14ac:dyDescent="0.2">
      <c r="A244" t="s">
        <v>370</v>
      </c>
      <c r="B244" s="10">
        <v>30296</v>
      </c>
      <c r="C244" s="77">
        <f t="shared" ca="1" si="3"/>
        <v>43</v>
      </c>
    </row>
    <row r="245" spans="1:3" x14ac:dyDescent="0.2">
      <c r="A245" t="s">
        <v>63</v>
      </c>
      <c r="B245" s="10">
        <v>19810</v>
      </c>
      <c r="C245" s="77">
        <f t="shared" ca="1" si="3"/>
        <v>71</v>
      </c>
    </row>
    <row r="246" spans="1:3" x14ac:dyDescent="0.2">
      <c r="A246" t="s">
        <v>72</v>
      </c>
      <c r="B246" s="10">
        <v>27181</v>
      </c>
      <c r="C246" s="77">
        <f t="shared" ca="1" si="3"/>
        <v>51</v>
      </c>
    </row>
    <row r="247" spans="1:3" x14ac:dyDescent="0.2">
      <c r="A247" t="s">
        <v>561</v>
      </c>
      <c r="B247" s="10">
        <v>17489</v>
      </c>
      <c r="C247" s="77">
        <f t="shared" ca="1" si="3"/>
        <v>78</v>
      </c>
    </row>
    <row r="248" spans="1:3" x14ac:dyDescent="0.2">
      <c r="A248" t="s">
        <v>562</v>
      </c>
      <c r="B248" s="10">
        <v>26320</v>
      </c>
      <c r="C248" s="77">
        <f t="shared" ca="1" si="3"/>
        <v>54</v>
      </c>
    </row>
    <row r="249" spans="1:3" x14ac:dyDescent="0.2">
      <c r="A249" t="s">
        <v>98</v>
      </c>
      <c r="B249" s="11">
        <v>1911</v>
      </c>
      <c r="C249" s="77">
        <f t="shared" ca="1" si="3"/>
        <v>120</v>
      </c>
    </row>
    <row r="250" spans="1:3" x14ac:dyDescent="0.2">
      <c r="A250" t="s">
        <v>148</v>
      </c>
      <c r="B250" s="10">
        <v>19482</v>
      </c>
      <c r="C250" s="77">
        <f t="shared" ca="1" si="3"/>
        <v>72</v>
      </c>
    </row>
    <row r="251" spans="1:3" x14ac:dyDescent="0.2">
      <c r="A251" t="s">
        <v>181</v>
      </c>
      <c r="B251" s="10">
        <v>14635</v>
      </c>
      <c r="C251" s="77">
        <f t="shared" ca="1" si="3"/>
        <v>86</v>
      </c>
    </row>
    <row r="252" spans="1:3" x14ac:dyDescent="0.2">
      <c r="A252" t="s">
        <v>563</v>
      </c>
      <c r="B252" s="10">
        <v>29380</v>
      </c>
      <c r="C252" s="77">
        <f t="shared" ca="1" si="3"/>
        <v>45</v>
      </c>
    </row>
    <row r="253" spans="1:3" x14ac:dyDescent="0.2">
      <c r="A253" t="s">
        <v>564</v>
      </c>
      <c r="B253" s="10">
        <v>27357</v>
      </c>
      <c r="C253" s="77">
        <f t="shared" ca="1" si="3"/>
        <v>51</v>
      </c>
    </row>
    <row r="254" spans="1:3" x14ac:dyDescent="0.2">
      <c r="A254" s="1" t="s">
        <v>213</v>
      </c>
      <c r="B254" s="15">
        <v>16062</v>
      </c>
      <c r="C254" s="77">
        <f t="shared" ca="1" si="3"/>
        <v>82</v>
      </c>
    </row>
    <row r="255" spans="1:3" x14ac:dyDescent="0.2">
      <c r="A255" s="1" t="s">
        <v>565</v>
      </c>
      <c r="B255" s="15">
        <v>26628</v>
      </c>
      <c r="C255" s="77">
        <f t="shared" ca="1" si="3"/>
        <v>53</v>
      </c>
    </row>
    <row r="256" spans="1:3" x14ac:dyDescent="0.2">
      <c r="A256" s="1" t="s">
        <v>332</v>
      </c>
      <c r="B256" s="15">
        <v>17624</v>
      </c>
      <c r="C256" s="77">
        <f t="shared" ca="1" si="3"/>
        <v>77</v>
      </c>
    </row>
    <row r="257" spans="1:3" x14ac:dyDescent="0.2">
      <c r="A257" s="1" t="s">
        <v>239</v>
      </c>
      <c r="B257" s="15">
        <v>28120</v>
      </c>
      <c r="C257" s="77">
        <f t="shared" ca="1" si="3"/>
        <v>49</v>
      </c>
    </row>
    <row r="258" spans="1:3" x14ac:dyDescent="0.2">
      <c r="A258" s="1" t="s">
        <v>566</v>
      </c>
      <c r="B258" s="15">
        <v>30089</v>
      </c>
      <c r="C258" s="77">
        <f t="shared" ca="1" si="3"/>
        <v>43</v>
      </c>
    </row>
    <row r="259" spans="1:3" x14ac:dyDescent="0.2">
      <c r="A259" t="s">
        <v>39</v>
      </c>
      <c r="B259" s="10">
        <v>6002</v>
      </c>
      <c r="C259" s="77">
        <f t="shared" ref="C259:C263" ca="1" si="4">DATEDIF(B259,TODAY(),"Y")</f>
        <v>109</v>
      </c>
    </row>
    <row r="260" spans="1:3" x14ac:dyDescent="0.2">
      <c r="A260" s="64" t="s">
        <v>237</v>
      </c>
      <c r="B260" s="65">
        <v>24344</v>
      </c>
      <c r="C260" s="77">
        <f t="shared" ca="1" si="4"/>
        <v>59</v>
      </c>
    </row>
    <row r="261" spans="1:3" x14ac:dyDescent="0.2">
      <c r="A261" s="1" t="s">
        <v>567</v>
      </c>
      <c r="B261" s="15">
        <v>24344</v>
      </c>
      <c r="C261" s="77">
        <f t="shared" ca="1" si="4"/>
        <v>59</v>
      </c>
    </row>
    <row r="262" spans="1:3" x14ac:dyDescent="0.2">
      <c r="A262" s="4" t="s">
        <v>489</v>
      </c>
      <c r="B262" s="15">
        <v>30573</v>
      </c>
      <c r="C262" s="77">
        <f t="shared" ca="1" si="4"/>
        <v>42</v>
      </c>
    </row>
    <row r="263" spans="1:3" x14ac:dyDescent="0.2">
      <c r="A263" s="1" t="s">
        <v>568</v>
      </c>
      <c r="B263" s="15">
        <v>31211</v>
      </c>
      <c r="C263" s="77">
        <f t="shared" ca="1" si="4"/>
        <v>40</v>
      </c>
    </row>
    <row r="264" spans="1:3" x14ac:dyDescent="0.2">
      <c r="B264" s="11"/>
    </row>
    <row r="265" spans="1:3" x14ac:dyDescent="0.2">
      <c r="B265" s="11"/>
    </row>
    <row r="266" spans="1:3" x14ac:dyDescent="0.2">
      <c r="B266" s="11"/>
    </row>
    <row r="267" spans="1:3" x14ac:dyDescent="0.2">
      <c r="B267" s="11"/>
    </row>
    <row r="268" spans="1:3" x14ac:dyDescent="0.2">
      <c r="B268" s="11"/>
    </row>
    <row r="269" spans="1:3" x14ac:dyDescent="0.2">
      <c r="B269" s="11"/>
    </row>
    <row r="270" spans="1:3" x14ac:dyDescent="0.2">
      <c r="B270" s="11"/>
    </row>
    <row r="271" spans="1:3" x14ac:dyDescent="0.2">
      <c r="B271" s="11"/>
    </row>
    <row r="272" spans="1:3" x14ac:dyDescent="0.2">
      <c r="B272" s="11"/>
    </row>
    <row r="273" spans="2:2" x14ac:dyDescent="0.2">
      <c r="B273" s="11"/>
    </row>
    <row r="274" spans="2:2" x14ac:dyDescent="0.2">
      <c r="B274" s="11"/>
    </row>
    <row r="275" spans="2:2" x14ac:dyDescent="0.2">
      <c r="B275" s="11"/>
    </row>
    <row r="276" spans="2:2" x14ac:dyDescent="0.2">
      <c r="B276" s="11"/>
    </row>
    <row r="277" spans="2:2" x14ac:dyDescent="0.2">
      <c r="B277" s="11"/>
    </row>
    <row r="278" spans="2:2" x14ac:dyDescent="0.2">
      <c r="B278" s="11"/>
    </row>
    <row r="279" spans="2:2" x14ac:dyDescent="0.2">
      <c r="B279" s="11"/>
    </row>
    <row r="280" spans="2:2" x14ac:dyDescent="0.2">
      <c r="B280" s="11"/>
    </row>
    <row r="281" spans="2:2" x14ac:dyDescent="0.2">
      <c r="B281" s="11"/>
    </row>
    <row r="282" spans="2:2" x14ac:dyDescent="0.2">
      <c r="B282" s="11"/>
    </row>
    <row r="283" spans="2:2" x14ac:dyDescent="0.2">
      <c r="B283" s="11"/>
    </row>
    <row r="284" spans="2:2" x14ac:dyDescent="0.2">
      <c r="B284" s="11"/>
    </row>
    <row r="285" spans="2:2" x14ac:dyDescent="0.2">
      <c r="B285" s="11"/>
    </row>
    <row r="286" spans="2:2" x14ac:dyDescent="0.2">
      <c r="B286" s="11"/>
    </row>
    <row r="287" spans="2:2" x14ac:dyDescent="0.2">
      <c r="B287" s="11"/>
    </row>
    <row r="288" spans="2:2" x14ac:dyDescent="0.2">
      <c r="B288" s="11"/>
    </row>
    <row r="289" spans="2:2" x14ac:dyDescent="0.2">
      <c r="B289" s="11"/>
    </row>
    <row r="290" spans="2:2" x14ac:dyDescent="0.2">
      <c r="B290" s="11"/>
    </row>
    <row r="291" spans="2:2" x14ac:dyDescent="0.2">
      <c r="B291" s="11"/>
    </row>
    <row r="292" spans="2:2" x14ac:dyDescent="0.2">
      <c r="B292" s="11"/>
    </row>
    <row r="293" spans="2:2" x14ac:dyDescent="0.2">
      <c r="B293" s="11"/>
    </row>
    <row r="294" spans="2:2" x14ac:dyDescent="0.2">
      <c r="B294" s="11"/>
    </row>
    <row r="295" spans="2:2" x14ac:dyDescent="0.2">
      <c r="B295" s="11"/>
    </row>
    <row r="296" spans="2:2" x14ac:dyDescent="0.2">
      <c r="B296" s="11"/>
    </row>
    <row r="297" spans="2:2" x14ac:dyDescent="0.2">
      <c r="B297" s="11"/>
    </row>
    <row r="298" spans="2:2" x14ac:dyDescent="0.2">
      <c r="B298" s="11"/>
    </row>
    <row r="299" spans="2:2" x14ac:dyDescent="0.2">
      <c r="B299" s="11"/>
    </row>
    <row r="300" spans="2:2" x14ac:dyDescent="0.2">
      <c r="B300" s="11"/>
    </row>
    <row r="301" spans="2:2" x14ac:dyDescent="0.2">
      <c r="B301" s="11"/>
    </row>
    <row r="302" spans="2:2" x14ac:dyDescent="0.2">
      <c r="B302" s="11"/>
    </row>
    <row r="303" spans="2:2" x14ac:dyDescent="0.2">
      <c r="B303" s="11"/>
    </row>
    <row r="304" spans="2:2" x14ac:dyDescent="0.2">
      <c r="B304" s="11"/>
    </row>
    <row r="305" spans="2:2" x14ac:dyDescent="0.2">
      <c r="B305" s="11"/>
    </row>
    <row r="306" spans="2:2" x14ac:dyDescent="0.2">
      <c r="B306" s="11"/>
    </row>
    <row r="307" spans="2:2" x14ac:dyDescent="0.2">
      <c r="B307" s="11"/>
    </row>
    <row r="308" spans="2:2" x14ac:dyDescent="0.2">
      <c r="B308" s="11"/>
    </row>
    <row r="309" spans="2:2" x14ac:dyDescent="0.2">
      <c r="B309" s="11"/>
    </row>
    <row r="310" spans="2:2" x14ac:dyDescent="0.2">
      <c r="B310" s="11"/>
    </row>
    <row r="311" spans="2:2" x14ac:dyDescent="0.2">
      <c r="B311" s="11"/>
    </row>
    <row r="312" spans="2:2" x14ac:dyDescent="0.2">
      <c r="B312" s="11"/>
    </row>
    <row r="313" spans="2:2" x14ac:dyDescent="0.2">
      <c r="B313" s="11"/>
    </row>
    <row r="314" spans="2:2" x14ac:dyDescent="0.2">
      <c r="B314" s="11"/>
    </row>
    <row r="315" spans="2:2" x14ac:dyDescent="0.2">
      <c r="B315" s="11"/>
    </row>
    <row r="316" spans="2:2" x14ac:dyDescent="0.2">
      <c r="B316" s="11"/>
    </row>
    <row r="317" spans="2:2" x14ac:dyDescent="0.2">
      <c r="B317" s="11"/>
    </row>
    <row r="318" spans="2:2" x14ac:dyDescent="0.2">
      <c r="B318" s="11"/>
    </row>
    <row r="319" spans="2:2" x14ac:dyDescent="0.2">
      <c r="B319" s="11"/>
    </row>
    <row r="320" spans="2:2" x14ac:dyDescent="0.2">
      <c r="B320" s="11"/>
    </row>
    <row r="321" spans="2:2" x14ac:dyDescent="0.2">
      <c r="B321" s="11"/>
    </row>
    <row r="322" spans="2:2" x14ac:dyDescent="0.2">
      <c r="B322" s="11"/>
    </row>
    <row r="323" spans="2:2" x14ac:dyDescent="0.2">
      <c r="B323" s="11"/>
    </row>
    <row r="324" spans="2:2" x14ac:dyDescent="0.2">
      <c r="B324" s="11"/>
    </row>
    <row r="325" spans="2:2" x14ac:dyDescent="0.2">
      <c r="B325" s="11"/>
    </row>
    <row r="326" spans="2:2" x14ac:dyDescent="0.2">
      <c r="B326" s="11"/>
    </row>
    <row r="327" spans="2:2" x14ac:dyDescent="0.2">
      <c r="B327" s="11"/>
    </row>
    <row r="328" spans="2:2" x14ac:dyDescent="0.2">
      <c r="B328" s="11"/>
    </row>
    <row r="329" spans="2:2" x14ac:dyDescent="0.2">
      <c r="B329" s="11"/>
    </row>
    <row r="330" spans="2:2" x14ac:dyDescent="0.2">
      <c r="B330" s="11"/>
    </row>
    <row r="331" spans="2:2" x14ac:dyDescent="0.2">
      <c r="B331" s="11"/>
    </row>
    <row r="332" spans="2:2" x14ac:dyDescent="0.2">
      <c r="B332" s="11"/>
    </row>
    <row r="333" spans="2:2" x14ac:dyDescent="0.2">
      <c r="B333" s="11"/>
    </row>
    <row r="334" spans="2:2" x14ac:dyDescent="0.2">
      <c r="B334" s="11"/>
    </row>
    <row r="335" spans="2:2" x14ac:dyDescent="0.2">
      <c r="B335" s="11"/>
    </row>
    <row r="336" spans="2:2" x14ac:dyDescent="0.2">
      <c r="B336" s="11"/>
    </row>
    <row r="337" spans="1:2" x14ac:dyDescent="0.2">
      <c r="B337" s="11"/>
    </row>
    <row r="338" spans="1:2" x14ac:dyDescent="0.2">
      <c r="A338" t="s">
        <v>569</v>
      </c>
      <c r="B338" s="11"/>
    </row>
    <row r="339" spans="1:2" x14ac:dyDescent="0.2">
      <c r="A339" t="s">
        <v>569</v>
      </c>
      <c r="B339" s="11"/>
    </row>
    <row r="340" spans="1:2" x14ac:dyDescent="0.2">
      <c r="A340" t="s">
        <v>569</v>
      </c>
      <c r="B340" s="11"/>
    </row>
    <row r="341" spans="1:2" x14ac:dyDescent="0.2">
      <c r="A341" t="s">
        <v>569</v>
      </c>
      <c r="B341" s="11"/>
    </row>
    <row r="342" spans="1:2" x14ac:dyDescent="0.2">
      <c r="A342" t="s">
        <v>569</v>
      </c>
      <c r="B342" s="11"/>
    </row>
    <row r="343" spans="1:2" x14ac:dyDescent="0.2">
      <c r="A343" t="s">
        <v>569</v>
      </c>
      <c r="B343" s="11"/>
    </row>
    <row r="344" spans="1:2" x14ac:dyDescent="0.2">
      <c r="A344" t="s">
        <v>569</v>
      </c>
      <c r="B344" s="11"/>
    </row>
    <row r="345" spans="1:2" x14ac:dyDescent="0.2">
      <c r="A345" t="s">
        <v>569</v>
      </c>
      <c r="B345" s="11"/>
    </row>
    <row r="346" spans="1:2" x14ac:dyDescent="0.2">
      <c r="A346" t="s">
        <v>569</v>
      </c>
      <c r="B346" s="11"/>
    </row>
    <row r="347" spans="1:2" x14ac:dyDescent="0.2">
      <c r="B347" s="11"/>
    </row>
    <row r="348" spans="1:2" x14ac:dyDescent="0.2">
      <c r="B348" s="11"/>
    </row>
    <row r="349" spans="1:2" x14ac:dyDescent="0.2">
      <c r="B349" s="11"/>
    </row>
    <row r="350" spans="1:2" x14ac:dyDescent="0.2">
      <c r="B350" s="11"/>
    </row>
    <row r="351" spans="1:2" x14ac:dyDescent="0.2">
      <c r="B351" s="11"/>
    </row>
    <row r="352" spans="1:2" x14ac:dyDescent="0.2">
      <c r="B352" s="11"/>
    </row>
    <row r="353" spans="2:2" x14ac:dyDescent="0.2">
      <c r="B353" s="11"/>
    </row>
    <row r="354" spans="2:2" x14ac:dyDescent="0.2">
      <c r="B354" s="11"/>
    </row>
    <row r="355" spans="2:2" x14ac:dyDescent="0.2">
      <c r="B355" s="11"/>
    </row>
    <row r="356" spans="2:2" x14ac:dyDescent="0.2">
      <c r="B356" s="11"/>
    </row>
    <row r="357" spans="2:2" x14ac:dyDescent="0.2">
      <c r="B357" s="11"/>
    </row>
    <row r="358" spans="2:2" x14ac:dyDescent="0.2">
      <c r="B358" s="11"/>
    </row>
    <row r="359" spans="2:2" x14ac:dyDescent="0.2">
      <c r="B359" s="11"/>
    </row>
    <row r="360" spans="2:2" x14ac:dyDescent="0.2">
      <c r="B360" s="11"/>
    </row>
    <row r="361" spans="2:2" x14ac:dyDescent="0.2">
      <c r="B361" s="11"/>
    </row>
    <row r="362" spans="2:2" x14ac:dyDescent="0.2">
      <c r="B362" s="11"/>
    </row>
    <row r="363" spans="2:2" x14ac:dyDescent="0.2">
      <c r="B363" s="11"/>
    </row>
    <row r="364" spans="2:2" x14ac:dyDescent="0.2">
      <c r="B364" s="11"/>
    </row>
    <row r="365" spans="2:2" x14ac:dyDescent="0.2">
      <c r="B365" s="11"/>
    </row>
    <row r="366" spans="2:2" x14ac:dyDescent="0.2">
      <c r="B366" s="11"/>
    </row>
    <row r="367" spans="2:2" x14ac:dyDescent="0.2">
      <c r="B367" s="11"/>
    </row>
    <row r="368" spans="2:2" x14ac:dyDescent="0.2">
      <c r="B368" s="11"/>
    </row>
    <row r="369" spans="2:2" x14ac:dyDescent="0.2">
      <c r="B369" s="11"/>
    </row>
    <row r="370" spans="2:2" x14ac:dyDescent="0.2">
      <c r="B370" s="11"/>
    </row>
    <row r="371" spans="2:2" x14ac:dyDescent="0.2">
      <c r="B371" s="11"/>
    </row>
    <row r="372" spans="2:2" x14ac:dyDescent="0.2">
      <c r="B372" s="11"/>
    </row>
    <row r="373" spans="2:2" x14ac:dyDescent="0.2">
      <c r="B373" s="11"/>
    </row>
    <row r="374" spans="2:2" x14ac:dyDescent="0.2">
      <c r="B374" s="11"/>
    </row>
    <row r="375" spans="2:2" x14ac:dyDescent="0.2">
      <c r="B375" s="11"/>
    </row>
    <row r="376" spans="2:2" x14ac:dyDescent="0.2">
      <c r="B376" s="11"/>
    </row>
    <row r="377" spans="2:2" x14ac:dyDescent="0.2">
      <c r="B377" s="11"/>
    </row>
    <row r="378" spans="2:2" x14ac:dyDescent="0.2">
      <c r="B378" s="11"/>
    </row>
    <row r="379" spans="2:2" x14ac:dyDescent="0.2">
      <c r="B379" s="11"/>
    </row>
    <row r="380" spans="2:2" x14ac:dyDescent="0.2">
      <c r="B380" s="11"/>
    </row>
    <row r="381" spans="2:2" x14ac:dyDescent="0.2">
      <c r="B381" s="11"/>
    </row>
    <row r="382" spans="2:2" x14ac:dyDescent="0.2">
      <c r="B382" s="11"/>
    </row>
    <row r="383" spans="2:2" x14ac:dyDescent="0.2">
      <c r="B383" s="11"/>
    </row>
    <row r="384" spans="2:2" x14ac:dyDescent="0.2">
      <c r="B384" s="11"/>
    </row>
    <row r="385" spans="2:2" x14ac:dyDescent="0.2">
      <c r="B385" s="11"/>
    </row>
    <row r="386" spans="2:2" x14ac:dyDescent="0.2">
      <c r="B386" s="11"/>
    </row>
    <row r="387" spans="2:2" x14ac:dyDescent="0.2">
      <c r="B387" s="11"/>
    </row>
    <row r="388" spans="2:2" x14ac:dyDescent="0.2">
      <c r="B388" s="11"/>
    </row>
    <row r="389" spans="2:2" x14ac:dyDescent="0.2">
      <c r="B389" s="11"/>
    </row>
    <row r="390" spans="2:2" x14ac:dyDescent="0.2">
      <c r="B390" s="11"/>
    </row>
    <row r="391" spans="2:2" x14ac:dyDescent="0.2">
      <c r="B391" s="11"/>
    </row>
    <row r="392" spans="2:2" x14ac:dyDescent="0.2">
      <c r="B392" s="11"/>
    </row>
    <row r="393" spans="2:2" x14ac:dyDescent="0.2">
      <c r="B393" s="11"/>
    </row>
    <row r="394" spans="2:2" x14ac:dyDescent="0.2">
      <c r="B394" s="11"/>
    </row>
    <row r="395" spans="2:2" x14ac:dyDescent="0.2">
      <c r="B395" s="11"/>
    </row>
    <row r="396" spans="2:2" x14ac:dyDescent="0.2">
      <c r="B396" s="11"/>
    </row>
    <row r="397" spans="2:2" x14ac:dyDescent="0.2">
      <c r="B397" s="11"/>
    </row>
    <row r="398" spans="2:2" x14ac:dyDescent="0.2">
      <c r="B398" s="11"/>
    </row>
    <row r="399" spans="2:2" x14ac:dyDescent="0.2">
      <c r="B399" s="11"/>
    </row>
    <row r="400" spans="2:2" x14ac:dyDescent="0.2">
      <c r="B400" s="11"/>
    </row>
    <row r="401" spans="2:2" x14ac:dyDescent="0.2">
      <c r="B401" s="11"/>
    </row>
    <row r="402" spans="2:2" x14ac:dyDescent="0.2">
      <c r="B402" s="11"/>
    </row>
    <row r="403" spans="2:2" x14ac:dyDescent="0.2">
      <c r="B403" s="11"/>
    </row>
    <row r="404" spans="2:2" x14ac:dyDescent="0.2">
      <c r="B404" s="11"/>
    </row>
    <row r="405" spans="2:2" x14ac:dyDescent="0.2">
      <c r="B405" s="11"/>
    </row>
    <row r="406" spans="2:2" x14ac:dyDescent="0.2">
      <c r="B406" s="11"/>
    </row>
    <row r="407" spans="2:2" x14ac:dyDescent="0.2">
      <c r="B407" s="11"/>
    </row>
    <row r="408" spans="2:2" x14ac:dyDescent="0.2">
      <c r="B408" s="11"/>
    </row>
    <row r="409" spans="2:2" x14ac:dyDescent="0.2">
      <c r="B409" s="11"/>
    </row>
    <row r="410" spans="2:2" x14ac:dyDescent="0.2">
      <c r="B410" s="11"/>
    </row>
    <row r="411" spans="2:2" x14ac:dyDescent="0.2">
      <c r="B411" s="11"/>
    </row>
    <row r="412" spans="2:2" x14ac:dyDescent="0.2">
      <c r="B412" s="11"/>
    </row>
    <row r="413" spans="2:2" x14ac:dyDescent="0.2">
      <c r="B413" s="11"/>
    </row>
    <row r="414" spans="2:2" x14ac:dyDescent="0.2">
      <c r="B414" s="11"/>
    </row>
    <row r="415" spans="2:2" x14ac:dyDescent="0.2">
      <c r="B415" s="11"/>
    </row>
    <row r="416" spans="2:2" x14ac:dyDescent="0.2">
      <c r="B416" s="11"/>
    </row>
    <row r="417" spans="2:2" x14ac:dyDescent="0.2">
      <c r="B417" s="11"/>
    </row>
    <row r="418" spans="2:2" x14ac:dyDescent="0.2">
      <c r="B418" s="11"/>
    </row>
    <row r="419" spans="2:2" x14ac:dyDescent="0.2">
      <c r="B419" s="11"/>
    </row>
    <row r="420" spans="2:2" x14ac:dyDescent="0.2">
      <c r="B420" s="11"/>
    </row>
    <row r="421" spans="2:2" x14ac:dyDescent="0.2">
      <c r="B421" s="11"/>
    </row>
    <row r="422" spans="2:2" x14ac:dyDescent="0.2">
      <c r="B422" s="11"/>
    </row>
    <row r="423" spans="2:2" x14ac:dyDescent="0.2">
      <c r="B423" s="11"/>
    </row>
    <row r="424" spans="2:2" x14ac:dyDescent="0.2">
      <c r="B424" s="11"/>
    </row>
    <row r="425" spans="2:2" x14ac:dyDescent="0.2">
      <c r="B425" s="11"/>
    </row>
    <row r="426" spans="2:2" x14ac:dyDescent="0.2">
      <c r="B426" s="11"/>
    </row>
    <row r="427" spans="2:2" x14ac:dyDescent="0.2">
      <c r="B427" s="11"/>
    </row>
    <row r="428" spans="2:2" x14ac:dyDescent="0.2">
      <c r="B428" s="11"/>
    </row>
    <row r="429" spans="2:2" x14ac:dyDescent="0.2">
      <c r="B429" s="11"/>
    </row>
    <row r="430" spans="2:2" x14ac:dyDescent="0.2">
      <c r="B430" s="11"/>
    </row>
    <row r="431" spans="2:2" x14ac:dyDescent="0.2">
      <c r="B431" s="11"/>
    </row>
    <row r="432" spans="2:2" x14ac:dyDescent="0.2">
      <c r="B432" s="11"/>
    </row>
    <row r="433" spans="2:2" x14ac:dyDescent="0.2">
      <c r="B433" s="11"/>
    </row>
    <row r="434" spans="2:2" x14ac:dyDescent="0.2">
      <c r="B434" s="11"/>
    </row>
    <row r="435" spans="2:2" x14ac:dyDescent="0.2">
      <c r="B435" s="11"/>
    </row>
    <row r="436" spans="2:2" x14ac:dyDescent="0.2">
      <c r="B436" s="11"/>
    </row>
    <row r="437" spans="2:2" x14ac:dyDescent="0.2">
      <c r="B437" s="11"/>
    </row>
    <row r="438" spans="2:2" x14ac:dyDescent="0.2">
      <c r="B438" s="11"/>
    </row>
    <row r="439" spans="2:2" x14ac:dyDescent="0.2">
      <c r="B439" s="11"/>
    </row>
  </sheetData>
  <autoFilter ref="A1:B262" xr:uid="{17A7D794-2BA2-C648-A783-90C32CF2E1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Εθνικά Ρεκορ</vt:lpstr>
      <vt:lpstr>Ανεπίσημα Εθνικά Ρεκορ</vt:lpstr>
      <vt:lpstr>Καταρίψεις</vt:lpstr>
      <vt:lpstr>Database Names</vt:lpstr>
      <vt:lpstr>'Εθνικά Ρεκορ'!Print_Area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2025-06-01T15:45:43Z</cp:lastPrinted>
  <dcterms:created xsi:type="dcterms:W3CDTF">2006-10-17T10:06:23Z</dcterms:created>
  <dcterms:modified xsi:type="dcterms:W3CDTF">2026-02-08T13:33:16Z</dcterms:modified>
</cp:coreProperties>
</file>