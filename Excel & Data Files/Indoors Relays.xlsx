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13_ncr:1_{972CD0AF-599A-6345-ABD8-A7EBE3651240}" xr6:coauthVersionLast="47" xr6:coauthVersionMax="47" xr10:uidLastSave="{00000000-0000-0000-0000-000000000000}"/>
  <bookViews>
    <workbookView xWindow="7940" yWindow="600" windowWidth="34260" windowHeight="21000" xr2:uid="{00000000-000D-0000-FFFF-FFFF00000000}"/>
  </bookViews>
  <sheets>
    <sheet name="National Records" sheetId="1" r:id="rId1"/>
    <sheet name="Καταρίψεις" sheetId="5" r:id="rId2"/>
    <sheet name="Settings" sheetId="4" r:id="rId3"/>
  </sheets>
  <definedNames>
    <definedName name="_xlnm._FilterDatabase" localSheetId="0" hidden="1">'National Records'!$A$1:$R$17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  <c r="D5" i="5"/>
  <c r="D4" i="5"/>
  <c r="D3" i="5"/>
  <c r="D2" i="5"/>
</calcChain>
</file>

<file path=xl/sharedStrings.xml><?xml version="1.0" encoding="utf-8"?>
<sst xmlns="http://schemas.openxmlformats.org/spreadsheetml/2006/main" count="242" uniqueCount="128">
  <si>
    <t>Επίδοση</t>
  </si>
  <si>
    <t xml:space="preserve">Ονοματεπώνυμο </t>
  </si>
  <si>
    <t>Ημ. Γέννησης</t>
  </si>
  <si>
    <t xml:space="preserve">Ημερομηνία </t>
  </si>
  <si>
    <t>Μάριος Χριστοφορίδης</t>
  </si>
  <si>
    <t>16.06.1968</t>
  </si>
  <si>
    <t xml:space="preserve">Διοργάνωση </t>
  </si>
  <si>
    <t>Τόπος</t>
  </si>
  <si>
    <t>Παγκόσμιο Πρωτάθλημα</t>
  </si>
  <si>
    <t>Τόρουν, Πολωνία</t>
  </si>
  <si>
    <t>Μ55</t>
  </si>
  <si>
    <t>Μ70</t>
  </si>
  <si>
    <t>Παύλος Χαραλαμπίδης</t>
  </si>
  <si>
    <t>21.08.1948</t>
  </si>
  <si>
    <t>Βελιγράδι, Σερβία</t>
  </si>
  <si>
    <t>Βαλκανικό Πρωτάθλημα</t>
  </si>
  <si>
    <t>Πανευρωπαϊκό Πρωτάθλημα</t>
  </si>
  <si>
    <t>08.03.2020</t>
  </si>
  <si>
    <t>10.03.2018</t>
  </si>
  <si>
    <t>07.03.2020</t>
  </si>
  <si>
    <t>Διονύσιος Κοντονής (6.2.1969)</t>
  </si>
  <si>
    <t>4x200μ.</t>
  </si>
  <si>
    <t>Παναγιώτης Αφρουδάκης (21.1.1977)</t>
  </si>
  <si>
    <t>Γεώργιος Λεπίδας (25.7.1975)</t>
  </si>
  <si>
    <t>Ιωάννης Κυριάκος (9.2.1979)</t>
  </si>
  <si>
    <t>Νικόλαος Γιανναδάκης (25.1.1977)</t>
  </si>
  <si>
    <t>Νικόλαος Λάμαρης (26.10.1970)</t>
  </si>
  <si>
    <t xml:space="preserve">Νικόλαος Χατζηνικολάου (27.12.1966)  </t>
  </si>
  <si>
    <t>Διονύσιος Αργυρόπουλος (4.8.1969)</t>
  </si>
  <si>
    <t>Οδυσσέας Άγρος (30.10.1957)</t>
  </si>
  <si>
    <t>02.03.2019</t>
  </si>
  <si>
    <t>Κων/πολη, Τουρκία</t>
  </si>
  <si>
    <t>Κων/νος Κομματάς (28.10.1957)</t>
  </si>
  <si>
    <t>Ιωάννης Χουλίδης (25.8.1952)</t>
  </si>
  <si>
    <t>Βασίλειος Κανελλόπουλος (4.8.1974)</t>
  </si>
  <si>
    <t>Αλέξανδρος Κελμαλής (28.2.1977)</t>
  </si>
  <si>
    <t>Δημήτριος Λουράκης (1.7.1973)</t>
  </si>
  <si>
    <t>Μιχάλης Σμυρνάκης (2.12.1967)</t>
  </si>
  <si>
    <t>Παύλος Χαραλαμπίδης (21.8.1948)</t>
  </si>
  <si>
    <t>Παναγιώτης Κακογιώργος (12.7.1950)</t>
  </si>
  <si>
    <t>Γεώργιος Χατζηβασιλείου (24.1.1953)</t>
  </si>
  <si>
    <t>Γεώργιος Χρόνης (24.4.1957)</t>
  </si>
  <si>
    <t>Σπυρίδων Σκορδίλης (10.7.1960)</t>
  </si>
  <si>
    <t>Ιούλιος Άμποττ (20.05.1941)</t>
  </si>
  <si>
    <t>Κων/νος Χατζηεμμανουήλ (25.1.1929)</t>
  </si>
  <si>
    <t>Αθανάσιος Γιαλαματζής (25.5.1953)</t>
  </si>
  <si>
    <t>Παναγιώτης Δούσης (23.9.1933)</t>
  </si>
  <si>
    <t>Νικόλαος Κόκκος (2.10.1969)</t>
  </si>
  <si>
    <t>Μαρία Τζάνου (22.3.1957)</t>
  </si>
  <si>
    <t>Αθηνά Βαϊνά (8.12.1959)</t>
  </si>
  <si>
    <t>Αριάδνη Τσαχάκη (2.11.1959)</t>
  </si>
  <si>
    <t>Ευανθία Ιερωνυμάκη (4.7.1955)</t>
  </si>
  <si>
    <t>Χριστίνα Μαραγιάννη (25.11.1972)</t>
  </si>
  <si>
    <t>Χρυσούλα Δημητροπούλου (25.8.1966)</t>
  </si>
  <si>
    <t>Παρασκευή Σιδερίδου (23.9.1967)</t>
  </si>
  <si>
    <t>Κωνσταντίνα Παρλαπάνη (21.5.1964)</t>
  </si>
  <si>
    <t>Φανή Λύκου (13.2.1976)</t>
  </si>
  <si>
    <t>Αγγελική Λαμπρόγλου (8.9.1983)</t>
  </si>
  <si>
    <t>Αικατερίνη Ροκάκη (18.7.1984)</t>
  </si>
  <si>
    <t>Μαρία Μουρατίδου (12.3.1967)</t>
  </si>
  <si>
    <t>Μαρία Μουρατίδου</t>
  </si>
  <si>
    <t>Μήκος</t>
  </si>
  <si>
    <t>W55</t>
  </si>
  <si>
    <t>12.03.1967</t>
  </si>
  <si>
    <t>Ημερίδα ΣΕΓΑΣ</t>
  </si>
  <si>
    <t>Δημήτριος Χαϊτίδης (24.3.1958)</t>
  </si>
  <si>
    <t>25.03.2019</t>
  </si>
  <si>
    <t>Στέργιος Χατζηστέργος (2.11.1968)</t>
  </si>
  <si>
    <t>Άννα Δάφτσου (25.09.1970)</t>
  </si>
  <si>
    <t>Νόβο Μέστο, Σλοβενία</t>
  </si>
  <si>
    <t>13.03.2022</t>
  </si>
  <si>
    <t>03.03.2024</t>
  </si>
  <si>
    <t>4x200μ. Μεικτή</t>
  </si>
  <si>
    <t>Αθανάσιος Ρομνάκης</t>
  </si>
  <si>
    <t>Σέρβικο Πρωτάθλημα</t>
  </si>
  <si>
    <t>Χαράλαμπος Χατζηιωακειμήδης  (22.01.1972)</t>
  </si>
  <si>
    <t>Παναγιωτίδου Μαρία (18.11.1979)</t>
  </si>
  <si>
    <t>20.03.2024</t>
  </si>
  <si>
    <t>23.03.2024</t>
  </si>
  <si>
    <t>Μόσχος Μοσχής (10.05.1983)</t>
  </si>
  <si>
    <t>Κρυσταλλία Αθανασοπούλου (18.05.1970)</t>
  </si>
  <si>
    <t>Ιωάννης Παπαϊωάννου (27.03.1983)</t>
  </si>
  <si>
    <t>Ελένη Τόρου (14.10.1970)</t>
  </si>
  <si>
    <t>Note</t>
  </si>
  <si>
    <t>R1</t>
  </si>
  <si>
    <t>R2</t>
  </si>
  <si>
    <t>R3</t>
  </si>
  <si>
    <t>Team</t>
  </si>
  <si>
    <t>1:39,56</t>
  </si>
  <si>
    <t>1:47,18</t>
  </si>
  <si>
    <t>1:43,49</t>
  </si>
  <si>
    <t>1:47,29</t>
  </si>
  <si>
    <t>1:55,78</t>
  </si>
  <si>
    <t>2:00,14</t>
  </si>
  <si>
    <t>2:14,11</t>
  </si>
  <si>
    <t>4:01,48</t>
  </si>
  <si>
    <t>1:59,72</t>
  </si>
  <si>
    <t>1:57,50</t>
  </si>
  <si>
    <t>30,91</t>
  </si>
  <si>
    <t>2:08,09</t>
  </si>
  <si>
    <t>2:03,30</t>
  </si>
  <si>
    <t>2:14,82</t>
  </si>
  <si>
    <t>2:37,27</t>
  </si>
  <si>
    <t>3:07,42</t>
  </si>
  <si>
    <t>Κατηγορία</t>
  </si>
  <si>
    <t>Αγώνισμα</t>
  </si>
  <si>
    <t>Owners</t>
  </si>
  <si>
    <t>Event</t>
  </si>
  <si>
    <t>MEN</t>
  </si>
  <si>
    <t>W</t>
  </si>
  <si>
    <t>WOMEN</t>
  </si>
  <si>
    <t>Date</t>
  </si>
  <si>
    <t>Id</t>
  </si>
  <si>
    <t>Μ</t>
  </si>
  <si>
    <t>Δημήτριος Δημητρακόπουλος</t>
  </si>
  <si>
    <t>07.10.1968</t>
  </si>
  <si>
    <t>25.01.2025</t>
  </si>
  <si>
    <t>Αθήνα, OAKA</t>
  </si>
  <si>
    <t>Gender</t>
  </si>
  <si>
    <t>Male</t>
  </si>
  <si>
    <t>IDR</t>
  </si>
  <si>
    <t>BirthDate</t>
  </si>
  <si>
    <t>Place</t>
  </si>
  <si>
    <t>RaceName</t>
  </si>
  <si>
    <t>TrackType</t>
  </si>
  <si>
    <t>Indoor</t>
  </si>
  <si>
    <t>FNAME</t>
  </si>
  <si>
    <t>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</si>
</sst>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0.000694444444444444]s.00;m:s.00"/>
  </numFmts>
  <fonts count="4" x14ac:knownFonts="1">
    <font>
      <sz val="11"/>
      <color theme="1"/>
      <name val="Calibri"/>
      <family val="2"/>
      <charset val="161"/>
      <scheme val="minor"/>
    </font>
    <font>
      <b/>
      <sz val="10"/>
      <color theme="1"/>
      <name val="Aptos Display"/>
    </font>
    <font>
      <sz val="10"/>
      <color theme="1"/>
      <name val="Aptos Display"/>
    </font>
    <font>
      <sz val="10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zoomScale="140" zoomScaleNormal="140" workbookViewId="0">
      <pane ySplit="1" topLeftCell="A2" activePane="bottomLeft" state="frozen"/>
      <selection pane="bottomLeft" activeCell="A12" sqref="A12"/>
    </sheetView>
  </sheetViews>
  <sheetFormatPr baseColWidth="10" defaultColWidth="9.1640625" defaultRowHeight="15" customHeight="1" x14ac:dyDescent="0.2"/>
  <cols>
    <col min="1" max="1" width="13" style="6" bestFit="1" customWidth="1"/>
    <col min="2" max="3" width="18.83203125" style="6" customWidth="1"/>
    <col min="4" max="4" width="8.6640625" style="1" customWidth="1"/>
    <col min="5" max="5" width="10.6640625" style="8" customWidth="1"/>
    <col min="6" max="6" width="13.6640625" style="18" customWidth="1"/>
    <col min="7" max="7" width="13.6640625" style="8" customWidth="1"/>
    <col min="8" max="8" width="31.6640625" style="1" customWidth="1"/>
    <col min="9" max="9" width="12.6640625" style="1" customWidth="1"/>
    <col min="10" max="10" width="11.6640625" style="1" customWidth="1"/>
    <col min="11" max="11" width="27" style="1" customWidth="1"/>
    <col min="12" max="12" width="26.6640625" style="1" customWidth="1"/>
    <col min="13" max="13" width="27.6640625" style="1" customWidth="1"/>
    <col min="14" max="14" width="29.83203125" style="1" bestFit="1" customWidth="1"/>
    <col min="15" max="15" width="31.1640625" style="1" bestFit="1" customWidth="1"/>
    <col min="16" max="16" width="36.1640625" style="1" bestFit="1" customWidth="1"/>
    <col min="17" max="17" width="33.6640625" style="1" bestFit="1" customWidth="1"/>
    <col min="18" max="16384" width="9.1640625" style="1"/>
  </cols>
  <sheetData>
    <row r="1" spans="1:17" ht="15" customHeight="1" x14ac:dyDescent="0.2">
      <c r="A1" s="3" t="s">
        <v>107</v>
      </c>
      <c r="B1" s="3" t="s">
        <v>118</v>
      </c>
      <c r="C1" s="3" t="s">
        <v>124</v>
      </c>
      <c r="D1" s="3" t="s">
        <v>0</v>
      </c>
      <c r="E1" s="7" t="s">
        <v>120</v>
      </c>
      <c r="F1" s="17" t="s">
        <v>126</v>
      </c>
      <c r="G1" s="7" t="s">
        <v>127</v>
      </c>
      <c r="H1" s="3" t="s">
        <v>1</v>
      </c>
      <c r="I1" s="3" t="s">
        <v>121</v>
      </c>
      <c r="J1" s="3" t="s">
        <v>111</v>
      </c>
      <c r="K1" s="3" t="s">
        <v>122</v>
      </c>
      <c r="L1" s="3" t="s">
        <v>123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86</v>
      </c>
    </row>
    <row r="2" spans="1:17" ht="15" customHeight="1" x14ac:dyDescent="0.2">
      <c r="A2" s="6" t="s">
        <v>21</v>
      </c>
      <c r="B2" s="6" t="s">
        <v>119</v>
      </c>
      <c r="C2" s="6" t="s">
        <v>125</v>
      </c>
      <c r="D2" s="15" t="s">
        <v>88</v>
      </c>
      <c r="E2" s="8">
        <v>1</v>
      </c>
      <c r="F2" s="18" t="e">
        <f t="shared" ref="F2:F12" si="0">LEFT(H2,FIND(" ",H2))</f>
        <v>#VALUE!</v>
      </c>
      <c r="G2" s="18" t="e">
        <f t="shared" ref="G2:G12" si="1">MID(H2,FIND(" ",H2)+1,LEN(H2)-LEN(F2))</f>
        <v>#VALUE!</v>
      </c>
      <c r="H2" s="1" t="s">
        <v>87</v>
      </c>
      <c r="J2" s="1" t="s">
        <v>18</v>
      </c>
      <c r="K2" s="1" t="s">
        <v>14</v>
      </c>
      <c r="L2" s="1" t="s">
        <v>15</v>
      </c>
      <c r="N2" s="1" t="s">
        <v>22</v>
      </c>
      <c r="O2" s="1" t="s">
        <v>23</v>
      </c>
      <c r="P2" s="1" t="s">
        <v>24</v>
      </c>
      <c r="Q2" s="1" t="s">
        <v>25</v>
      </c>
    </row>
    <row r="3" spans="1:17" ht="15" customHeight="1" x14ac:dyDescent="0.2">
      <c r="A3" s="6" t="s">
        <v>21</v>
      </c>
      <c r="B3" s="6" t="s">
        <v>119</v>
      </c>
      <c r="C3" s="6" t="s">
        <v>125</v>
      </c>
      <c r="D3" s="15" t="s">
        <v>89</v>
      </c>
      <c r="E3" s="8">
        <v>1</v>
      </c>
      <c r="F3" s="18" t="e">
        <f t="shared" si="0"/>
        <v>#VALUE!</v>
      </c>
      <c r="G3" s="18" t="e">
        <f t="shared" si="1"/>
        <v>#VALUE!</v>
      </c>
      <c r="H3" s="1" t="s">
        <v>87</v>
      </c>
      <c r="J3" s="1" t="s">
        <v>18</v>
      </c>
      <c r="K3" s="1" t="s">
        <v>14</v>
      </c>
      <c r="L3" s="1" t="s">
        <v>15</v>
      </c>
      <c r="N3" s="1" t="s">
        <v>36</v>
      </c>
      <c r="O3" s="1" t="s">
        <v>35</v>
      </c>
      <c r="P3" s="1" t="s">
        <v>37</v>
      </c>
      <c r="Q3" s="1" t="s">
        <v>34</v>
      </c>
    </row>
    <row r="4" spans="1:17" ht="15" customHeight="1" x14ac:dyDescent="0.2">
      <c r="A4" s="6" t="s">
        <v>21</v>
      </c>
      <c r="B4" s="6" t="s">
        <v>119</v>
      </c>
      <c r="C4" s="6" t="s">
        <v>125</v>
      </c>
      <c r="D4" s="15" t="s">
        <v>90</v>
      </c>
      <c r="E4" s="8">
        <v>1</v>
      </c>
      <c r="F4" s="18" t="e">
        <f t="shared" si="0"/>
        <v>#VALUE!</v>
      </c>
      <c r="G4" s="18" t="e">
        <f t="shared" si="1"/>
        <v>#VALUE!</v>
      </c>
      <c r="H4" s="1" t="s">
        <v>87</v>
      </c>
      <c r="J4" s="1" t="s">
        <v>18</v>
      </c>
      <c r="K4" s="1" t="s">
        <v>14</v>
      </c>
      <c r="L4" s="1" t="s">
        <v>15</v>
      </c>
      <c r="N4" s="1" t="s">
        <v>26</v>
      </c>
      <c r="O4" s="1" t="s">
        <v>27</v>
      </c>
      <c r="P4" s="1" t="s">
        <v>20</v>
      </c>
      <c r="Q4" s="1" t="s">
        <v>28</v>
      </c>
    </row>
    <row r="5" spans="1:17" ht="15" customHeight="1" x14ac:dyDescent="0.2">
      <c r="A5" s="6" t="s">
        <v>21</v>
      </c>
      <c r="B5" s="6" t="s">
        <v>119</v>
      </c>
      <c r="C5" s="6" t="s">
        <v>125</v>
      </c>
      <c r="D5" s="15" t="s">
        <v>91</v>
      </c>
      <c r="E5" s="8">
        <v>1</v>
      </c>
      <c r="F5" s="18" t="e">
        <f t="shared" si="0"/>
        <v>#VALUE!</v>
      </c>
      <c r="G5" s="18" t="e">
        <f t="shared" si="1"/>
        <v>#VALUE!</v>
      </c>
      <c r="H5" s="1" t="s">
        <v>87</v>
      </c>
      <c r="J5" s="1" t="s">
        <v>17</v>
      </c>
      <c r="K5" s="1" t="s">
        <v>14</v>
      </c>
      <c r="L5" s="1" t="s">
        <v>15</v>
      </c>
      <c r="N5" s="1" t="s">
        <v>47</v>
      </c>
      <c r="O5" s="1" t="s">
        <v>27</v>
      </c>
      <c r="P5" s="1" t="s">
        <v>67</v>
      </c>
      <c r="Q5" s="1" t="s">
        <v>20</v>
      </c>
    </row>
    <row r="6" spans="1:17" ht="15" customHeight="1" x14ac:dyDescent="0.2">
      <c r="A6" s="6" t="s">
        <v>21</v>
      </c>
      <c r="B6" s="6" t="s">
        <v>119</v>
      </c>
      <c r="C6" s="6" t="s">
        <v>125</v>
      </c>
      <c r="D6" s="15" t="s">
        <v>92</v>
      </c>
      <c r="E6" s="8">
        <v>1</v>
      </c>
      <c r="F6" s="18" t="e">
        <f t="shared" si="0"/>
        <v>#VALUE!</v>
      </c>
      <c r="G6" s="18" t="e">
        <f t="shared" si="1"/>
        <v>#VALUE!</v>
      </c>
      <c r="H6" s="1" t="s">
        <v>87</v>
      </c>
      <c r="J6" s="1" t="s">
        <v>18</v>
      </c>
      <c r="K6" s="1" t="s">
        <v>14</v>
      </c>
      <c r="L6" s="1" t="s">
        <v>15</v>
      </c>
      <c r="N6" s="1" t="s">
        <v>42</v>
      </c>
      <c r="O6" s="1" t="s">
        <v>32</v>
      </c>
      <c r="P6" s="1" t="s">
        <v>41</v>
      </c>
      <c r="Q6" s="1" t="s">
        <v>29</v>
      </c>
    </row>
    <row r="7" spans="1:17" ht="15" customHeight="1" x14ac:dyDescent="0.2">
      <c r="A7" s="6" t="s">
        <v>21</v>
      </c>
      <c r="B7" s="6" t="s">
        <v>119</v>
      </c>
      <c r="C7" s="6" t="s">
        <v>125</v>
      </c>
      <c r="D7" s="15" t="s">
        <v>93</v>
      </c>
      <c r="E7" s="8">
        <v>1</v>
      </c>
      <c r="F7" s="18" t="e">
        <f t="shared" si="0"/>
        <v>#VALUE!</v>
      </c>
      <c r="G7" s="18" t="e">
        <f t="shared" si="1"/>
        <v>#VALUE!</v>
      </c>
      <c r="H7" s="1" t="s">
        <v>87</v>
      </c>
      <c r="J7" s="1" t="s">
        <v>30</v>
      </c>
      <c r="K7" s="1" t="s">
        <v>31</v>
      </c>
      <c r="L7" s="1" t="s">
        <v>15</v>
      </c>
      <c r="N7" s="1" t="s">
        <v>29</v>
      </c>
      <c r="O7" s="1" t="s">
        <v>32</v>
      </c>
      <c r="P7" s="1" t="s">
        <v>65</v>
      </c>
      <c r="Q7" s="1" t="s">
        <v>33</v>
      </c>
    </row>
    <row r="8" spans="1:17" ht="15" customHeight="1" x14ac:dyDescent="0.2">
      <c r="A8" s="6" t="s">
        <v>21</v>
      </c>
      <c r="B8" s="6" t="s">
        <v>119</v>
      </c>
      <c r="C8" s="6" t="s">
        <v>125</v>
      </c>
      <c r="D8" s="15" t="s">
        <v>94</v>
      </c>
      <c r="E8" s="8">
        <v>1</v>
      </c>
      <c r="F8" s="18" t="e">
        <f t="shared" si="0"/>
        <v>#VALUE!</v>
      </c>
      <c r="G8" s="18" t="e">
        <f t="shared" si="1"/>
        <v>#VALUE!</v>
      </c>
      <c r="H8" s="1" t="s">
        <v>87</v>
      </c>
      <c r="J8" s="1" t="s">
        <v>18</v>
      </c>
      <c r="K8" s="1" t="s">
        <v>14</v>
      </c>
      <c r="L8" s="1" t="s">
        <v>15</v>
      </c>
      <c r="N8" s="1" t="s">
        <v>38</v>
      </c>
      <c r="O8" s="1" t="s">
        <v>39</v>
      </c>
      <c r="P8" s="1" t="s">
        <v>40</v>
      </c>
      <c r="Q8" s="1" t="s">
        <v>33</v>
      </c>
    </row>
    <row r="9" spans="1:17" ht="15" customHeight="1" x14ac:dyDescent="0.2">
      <c r="A9" s="6" t="s">
        <v>21</v>
      </c>
      <c r="B9" s="6" t="s">
        <v>119</v>
      </c>
      <c r="C9" s="6" t="s">
        <v>125</v>
      </c>
      <c r="D9" s="15">
        <v>0</v>
      </c>
      <c r="E9" s="8">
        <v>1</v>
      </c>
      <c r="F9" s="18" t="e">
        <f t="shared" si="0"/>
        <v>#VALUE!</v>
      </c>
      <c r="G9" s="18" t="e">
        <f t="shared" si="1"/>
        <v>#VALUE!</v>
      </c>
      <c r="H9" s="1" t="s">
        <v>87</v>
      </c>
    </row>
    <row r="10" spans="1:17" ht="15" customHeight="1" x14ac:dyDescent="0.2">
      <c r="A10" s="6" t="s">
        <v>21</v>
      </c>
      <c r="B10" s="6" t="s">
        <v>119</v>
      </c>
      <c r="C10" s="6" t="s">
        <v>125</v>
      </c>
      <c r="D10" s="15" t="s">
        <v>95</v>
      </c>
      <c r="E10" s="8">
        <v>1</v>
      </c>
      <c r="F10" s="18" t="e">
        <f t="shared" si="0"/>
        <v>#VALUE!</v>
      </c>
      <c r="G10" s="18" t="e">
        <f t="shared" si="1"/>
        <v>#VALUE!</v>
      </c>
      <c r="H10" s="1" t="s">
        <v>87</v>
      </c>
      <c r="J10" s="1" t="s">
        <v>30</v>
      </c>
      <c r="K10" s="1" t="s">
        <v>31</v>
      </c>
      <c r="L10" s="1" t="s">
        <v>15</v>
      </c>
      <c r="N10" s="1" t="s">
        <v>43</v>
      </c>
      <c r="O10" s="1" t="s">
        <v>44</v>
      </c>
      <c r="P10" s="1" t="s">
        <v>45</v>
      </c>
      <c r="Q10" s="1" t="s">
        <v>46</v>
      </c>
    </row>
    <row r="11" spans="1:17" ht="15" customHeight="1" x14ac:dyDescent="0.2">
      <c r="A11" s="6" t="s">
        <v>72</v>
      </c>
      <c r="B11" s="6" t="s">
        <v>119</v>
      </c>
      <c r="C11" s="6" t="s">
        <v>125</v>
      </c>
      <c r="D11" s="15" t="s">
        <v>96</v>
      </c>
      <c r="E11" s="8">
        <v>1</v>
      </c>
      <c r="F11" s="18" t="e">
        <f t="shared" si="0"/>
        <v>#VALUE!</v>
      </c>
      <c r="G11" s="18" t="e">
        <f t="shared" si="1"/>
        <v>#VALUE!</v>
      </c>
      <c r="H11" s="1" t="s">
        <v>87</v>
      </c>
      <c r="I11" s="16"/>
      <c r="J11" s="1" t="s">
        <v>71</v>
      </c>
      <c r="K11" s="1" t="s">
        <v>14</v>
      </c>
      <c r="L11" s="1" t="s">
        <v>74</v>
      </c>
      <c r="N11" s="14" t="s">
        <v>52</v>
      </c>
      <c r="O11" s="1" t="s">
        <v>73</v>
      </c>
      <c r="P11" s="1" t="s">
        <v>75</v>
      </c>
      <c r="Q11" s="1" t="s">
        <v>76</v>
      </c>
    </row>
    <row r="12" spans="1:17" ht="15" customHeight="1" x14ac:dyDescent="0.2">
      <c r="A12" s="6" t="s">
        <v>72</v>
      </c>
      <c r="B12" s="6" t="s">
        <v>119</v>
      </c>
      <c r="C12" s="6" t="s">
        <v>125</v>
      </c>
      <c r="D12" s="15" t="s">
        <v>97</v>
      </c>
      <c r="E12" s="8">
        <v>1</v>
      </c>
      <c r="F12" s="18" t="e">
        <f t="shared" si="0"/>
        <v>#VALUE!</v>
      </c>
      <c r="G12" s="18" t="e">
        <f t="shared" si="1"/>
        <v>#VALUE!</v>
      </c>
      <c r="H12" s="1" t="s">
        <v>87</v>
      </c>
      <c r="I12" s="16"/>
      <c r="J12" s="1" t="s">
        <v>78</v>
      </c>
      <c r="K12" s="1" t="s">
        <v>9</v>
      </c>
      <c r="L12" s="1" t="s">
        <v>16</v>
      </c>
      <c r="N12" s="14" t="s">
        <v>81</v>
      </c>
      <c r="O12" s="1" t="s">
        <v>82</v>
      </c>
      <c r="P12" s="1" t="s">
        <v>79</v>
      </c>
      <c r="Q12" s="1" t="s">
        <v>80</v>
      </c>
    </row>
    <row r="13" spans="1:17" ht="15" customHeight="1" x14ac:dyDescent="0.2">
      <c r="A13" s="6" t="s">
        <v>21</v>
      </c>
      <c r="B13" s="6" t="s">
        <v>119</v>
      </c>
      <c r="C13" s="6" t="s">
        <v>125</v>
      </c>
      <c r="D13" s="15" t="s">
        <v>99</v>
      </c>
      <c r="E13" s="8">
        <v>1</v>
      </c>
      <c r="F13" s="18" t="str">
        <f t="shared" ref="F13:F17" si="2">LEFT(H13,FIND(" ",H13))</f>
        <v xml:space="preserve">Αγγελική </v>
      </c>
      <c r="G13" s="18" t="str">
        <f t="shared" ref="G13:G17" si="3">MID(H13,FIND(" ",H13)+1,LEN(H13)-LEN(F13))</f>
        <v>Λαμπρόγλου (8.9.1983)</v>
      </c>
      <c r="H13" s="1" t="s">
        <v>57</v>
      </c>
      <c r="J13" s="1" t="s">
        <v>19</v>
      </c>
      <c r="K13" s="1" t="s">
        <v>14</v>
      </c>
      <c r="L13" s="1" t="s">
        <v>15</v>
      </c>
      <c r="N13" s="1" t="s">
        <v>57</v>
      </c>
      <c r="O13" s="1" t="s">
        <v>58</v>
      </c>
      <c r="P13" s="1" t="s">
        <v>52</v>
      </c>
      <c r="Q13" s="1" t="s">
        <v>56</v>
      </c>
    </row>
    <row r="14" spans="1:17" ht="15" customHeight="1" x14ac:dyDescent="0.2">
      <c r="A14" s="6" t="s">
        <v>21</v>
      </c>
      <c r="B14" s="6" t="s">
        <v>119</v>
      </c>
      <c r="C14" s="6" t="s">
        <v>125</v>
      </c>
      <c r="D14" s="15" t="s">
        <v>100</v>
      </c>
      <c r="E14" s="8">
        <v>1</v>
      </c>
      <c r="F14" s="18" t="str">
        <f t="shared" si="2"/>
        <v xml:space="preserve">Άννα </v>
      </c>
      <c r="G14" s="18" t="str">
        <f t="shared" si="3"/>
        <v>Δάφτσου (25.09.1970)</v>
      </c>
      <c r="H14" s="1" t="s">
        <v>68</v>
      </c>
      <c r="J14" s="1" t="s">
        <v>30</v>
      </c>
      <c r="K14" s="1" t="s">
        <v>31</v>
      </c>
      <c r="L14" s="1" t="s">
        <v>15</v>
      </c>
      <c r="N14" s="1" t="s">
        <v>68</v>
      </c>
      <c r="O14" s="1" t="s">
        <v>59</v>
      </c>
      <c r="P14" s="1" t="s">
        <v>56</v>
      </c>
      <c r="Q14" s="1" t="s">
        <v>52</v>
      </c>
    </row>
    <row r="15" spans="1:17" ht="15" customHeight="1" x14ac:dyDescent="0.2">
      <c r="A15" s="6" t="s">
        <v>21</v>
      </c>
      <c r="B15" s="6" t="s">
        <v>119</v>
      </c>
      <c r="C15" s="6" t="s">
        <v>125</v>
      </c>
      <c r="D15" s="15" t="s">
        <v>101</v>
      </c>
      <c r="E15" s="8">
        <v>1</v>
      </c>
      <c r="F15" s="18" t="str">
        <f t="shared" si="2"/>
        <v xml:space="preserve">Άννα </v>
      </c>
      <c r="G15" s="18" t="str">
        <f t="shared" si="3"/>
        <v>Δάφτσου (25.09.1970)</v>
      </c>
      <c r="H15" s="1" t="s">
        <v>68</v>
      </c>
      <c r="J15" s="1" t="s">
        <v>18</v>
      </c>
      <c r="K15" s="1" t="s">
        <v>14</v>
      </c>
      <c r="L15" s="1" t="s">
        <v>15</v>
      </c>
      <c r="N15" s="1" t="s">
        <v>68</v>
      </c>
      <c r="O15" s="1" t="s">
        <v>59</v>
      </c>
      <c r="P15" s="1" t="s">
        <v>52</v>
      </c>
      <c r="Q15" s="1" t="s">
        <v>53</v>
      </c>
    </row>
    <row r="16" spans="1:17" ht="15" customHeight="1" x14ac:dyDescent="0.2">
      <c r="A16" s="6" t="s">
        <v>21</v>
      </c>
      <c r="B16" s="6" t="s">
        <v>119</v>
      </c>
      <c r="C16" s="6" t="s">
        <v>125</v>
      </c>
      <c r="D16" s="15" t="s">
        <v>102</v>
      </c>
      <c r="E16" s="8">
        <v>1</v>
      </c>
      <c r="F16" s="18" t="str">
        <f t="shared" si="2"/>
        <v xml:space="preserve">Αθηνά </v>
      </c>
      <c r="G16" s="18" t="str">
        <f t="shared" si="3"/>
        <v>Βαϊνά (8.12.1959)</v>
      </c>
      <c r="H16" s="1" t="s">
        <v>49</v>
      </c>
      <c r="J16" s="1" t="s">
        <v>30</v>
      </c>
      <c r="K16" s="1" t="s">
        <v>31</v>
      </c>
      <c r="L16" s="1" t="s">
        <v>15</v>
      </c>
      <c r="N16" s="1" t="s">
        <v>49</v>
      </c>
      <c r="O16" s="1" t="s">
        <v>53</v>
      </c>
      <c r="P16" s="1" t="s">
        <v>54</v>
      </c>
      <c r="Q16" s="1" t="s">
        <v>55</v>
      </c>
    </row>
    <row r="17" spans="1:17" ht="15" customHeight="1" x14ac:dyDescent="0.2">
      <c r="A17" s="6" t="s">
        <v>21</v>
      </c>
      <c r="B17" s="6" t="s">
        <v>119</v>
      </c>
      <c r="C17" s="6" t="s">
        <v>125</v>
      </c>
      <c r="D17" s="15" t="s">
        <v>103</v>
      </c>
      <c r="E17" s="8">
        <v>1</v>
      </c>
      <c r="F17" s="18" t="str">
        <f t="shared" si="2"/>
        <v xml:space="preserve">Αθηνά </v>
      </c>
      <c r="G17" s="18" t="str">
        <f t="shared" si="3"/>
        <v>Βαϊνά (8.12.1959)</v>
      </c>
      <c r="H17" s="1" t="s">
        <v>49</v>
      </c>
      <c r="J17" s="1" t="s">
        <v>18</v>
      </c>
      <c r="K17" s="1" t="s">
        <v>14</v>
      </c>
      <c r="L17" s="1" t="s">
        <v>15</v>
      </c>
      <c r="N17" s="1" t="s">
        <v>49</v>
      </c>
      <c r="O17" s="1" t="s">
        <v>51</v>
      </c>
      <c r="P17" s="1" t="s">
        <v>50</v>
      </c>
      <c r="Q17" s="1" t="s">
        <v>48</v>
      </c>
    </row>
  </sheetData>
  <autoFilter ref="A1:R17" xr:uid="{00000000-0001-0000-0000-000000000000}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F518-E9E4-AA44-9E47-B4655337A346}">
  <dimension ref="A1:K5"/>
  <sheetViews>
    <sheetView workbookViewId="0">
      <selection activeCell="A5" sqref="A5"/>
    </sheetView>
  </sheetViews>
  <sheetFormatPr baseColWidth="10" defaultRowHeight="15" x14ac:dyDescent="0.2"/>
  <sheetData>
    <row r="1" spans="1:11" s="1" customFormat="1" ht="15" customHeight="1" x14ac:dyDescent="0.2">
      <c r="A1" s="2" t="s">
        <v>104</v>
      </c>
      <c r="B1" s="7" t="s">
        <v>106</v>
      </c>
      <c r="C1" s="3" t="s">
        <v>105</v>
      </c>
      <c r="D1" s="3" t="s">
        <v>112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7</v>
      </c>
      <c r="J1" s="3" t="s">
        <v>6</v>
      </c>
      <c r="K1" s="3" t="s">
        <v>83</v>
      </c>
    </row>
    <row r="2" spans="1:11" x14ac:dyDescent="0.2">
      <c r="A2" s="9" t="s">
        <v>10</v>
      </c>
      <c r="B2" s="10">
        <v>1</v>
      </c>
      <c r="C2" s="11" t="s">
        <v>61</v>
      </c>
      <c r="D2" s="11" t="str">
        <f t="shared" ref="D2:D5" si="0">CONCATENATE(C2,"-",A2)</f>
        <v>Μήκος-Μ55</v>
      </c>
      <c r="E2" s="12">
        <v>5.39</v>
      </c>
      <c r="F2" s="9" t="s">
        <v>114</v>
      </c>
      <c r="G2" s="13" t="s">
        <v>115</v>
      </c>
      <c r="H2" s="13" t="s">
        <v>116</v>
      </c>
      <c r="I2" s="9" t="s">
        <v>117</v>
      </c>
      <c r="J2" s="9" t="s">
        <v>64</v>
      </c>
      <c r="K2" s="9">
        <v>2025</v>
      </c>
    </row>
    <row r="3" spans="1:11" x14ac:dyDescent="0.2">
      <c r="A3" s="1" t="s">
        <v>10</v>
      </c>
      <c r="B3" s="8">
        <v>1</v>
      </c>
      <c r="C3" s="6">
        <v>60</v>
      </c>
      <c r="D3" s="6" t="str">
        <f t="shared" si="0"/>
        <v>60-Μ55</v>
      </c>
      <c r="E3" s="4">
        <v>8.6805555555555559E-5</v>
      </c>
      <c r="F3" s="1" t="s">
        <v>4</v>
      </c>
      <c r="G3" s="5" t="s">
        <v>5</v>
      </c>
      <c r="H3" s="5" t="s">
        <v>77</v>
      </c>
      <c r="I3" s="1" t="s">
        <v>9</v>
      </c>
      <c r="J3" s="1" t="s">
        <v>16</v>
      </c>
      <c r="K3" s="1"/>
    </row>
    <row r="4" spans="1:11" x14ac:dyDescent="0.2">
      <c r="A4" s="1" t="s">
        <v>11</v>
      </c>
      <c r="B4" s="8">
        <v>2</v>
      </c>
      <c r="C4" s="6">
        <v>60</v>
      </c>
      <c r="D4" s="6" t="str">
        <f t="shared" si="0"/>
        <v>60-Μ70</v>
      </c>
      <c r="E4" s="4">
        <v>1.0324074074074074E-4</v>
      </c>
      <c r="F4" s="1" t="s">
        <v>12</v>
      </c>
      <c r="G4" s="5" t="s">
        <v>13</v>
      </c>
      <c r="H4" s="5" t="s">
        <v>66</v>
      </c>
      <c r="I4" s="1" t="s">
        <v>9</v>
      </c>
      <c r="J4" s="1" t="s">
        <v>8</v>
      </c>
    </row>
    <row r="5" spans="1:11" x14ac:dyDescent="0.2">
      <c r="A5" s="1" t="s">
        <v>62</v>
      </c>
      <c r="B5" s="8">
        <v>1</v>
      </c>
      <c r="C5" s="6">
        <v>200</v>
      </c>
      <c r="D5" s="6" t="str">
        <f t="shared" si="0"/>
        <v>200-W55</v>
      </c>
      <c r="E5" s="15" t="s">
        <v>98</v>
      </c>
      <c r="F5" s="1" t="s">
        <v>60</v>
      </c>
      <c r="G5" s="5" t="s">
        <v>63</v>
      </c>
      <c r="H5" s="5" t="s">
        <v>70</v>
      </c>
      <c r="I5" s="1" t="s">
        <v>69</v>
      </c>
      <c r="J5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10.83203125" defaultRowHeight="15" x14ac:dyDescent="0.2"/>
  <sheetData>
    <row r="1" spans="1:2" x14ac:dyDescent="0.2">
      <c r="A1" t="s">
        <v>113</v>
      </c>
      <c r="B1" t="s">
        <v>108</v>
      </c>
    </row>
    <row r="2" spans="1:2" x14ac:dyDescent="0.2">
      <c r="A2" t="s">
        <v>109</v>
      </c>
      <c r="B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 Records</vt:lpstr>
      <vt:lpstr>Καταρίψεις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2026-02-20T20:55:28Z</dcterms:modified>
</cp:coreProperties>
</file>