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filterPrivacy="1" defaultThemeVersion="124226"/>
  <xr:revisionPtr revIDLastSave="0" documentId="13_ncr:1_{7F06AEA4-6C61-5B44-8EE5-AC558A3FD672}" xr6:coauthVersionLast="47" xr6:coauthVersionMax="47" xr10:uidLastSave="{00000000-0000-0000-0000-000000000000}"/>
  <bookViews>
    <workbookView xWindow="17980" yWindow="780" windowWidth="18020" windowHeight="20920" xr2:uid="{00000000-000D-0000-FFFF-FFFF00000000}"/>
  </bookViews>
  <sheets>
    <sheet name="National Records" sheetId="1" r:id="rId1"/>
    <sheet name="Καταρίψεις" sheetId="5" r:id="rId2"/>
    <sheet name="Settings" sheetId="4" r:id="rId3"/>
  </sheets>
  <definedNames>
    <definedName name="_xlnm._FilterDatabase" localSheetId="0" hidden="1">'National Records'!$B$1:$M$3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G3" i="1"/>
  <c r="H3" i="1" s="1"/>
  <c r="D5" i="5"/>
  <c r="D4" i="5"/>
  <c r="D3" i="5"/>
  <c r="D2" i="5"/>
</calcChain>
</file>

<file path=xl/sharedStrings.xml><?xml version="1.0" encoding="utf-8"?>
<sst xmlns="http://schemas.openxmlformats.org/spreadsheetml/2006/main" count="78" uniqueCount="61">
  <si>
    <t>Επίδοση</t>
  </si>
  <si>
    <t xml:space="preserve">Ονοματεπώνυμο </t>
  </si>
  <si>
    <t>Ημ. Γέννησης</t>
  </si>
  <si>
    <t xml:space="preserve">Ημερομηνία </t>
  </si>
  <si>
    <t>Μάριος Χριστοφορίδης</t>
  </si>
  <si>
    <t>16.06.1968</t>
  </si>
  <si>
    <t xml:space="preserve">Διοργάνωση </t>
  </si>
  <si>
    <t>Τόπος</t>
  </si>
  <si>
    <t>Παγκόσμιο Πρωτάθλημα</t>
  </si>
  <si>
    <t>Τόρουν, Πολωνία</t>
  </si>
  <si>
    <t>Μ55</t>
  </si>
  <si>
    <t>Μ70</t>
  </si>
  <si>
    <t>Παύλος Χαραλαμπίδης</t>
  </si>
  <si>
    <t>21.08.1948</t>
  </si>
  <si>
    <t>Βαλκανικό Πρωτάθλημα</t>
  </si>
  <si>
    <t>Πανευρωπαϊκό Πρωτάθλημα</t>
  </si>
  <si>
    <t>Μαρία Μουρατίδου</t>
  </si>
  <si>
    <t>Μήκος</t>
  </si>
  <si>
    <t>W55</t>
  </si>
  <si>
    <t>12.03.1967</t>
  </si>
  <si>
    <t>Ημερίδα ΣΕΓΑΣ</t>
  </si>
  <si>
    <t>25.03.2019</t>
  </si>
  <si>
    <t>Νόβο Μέστο, Σλοβενία</t>
  </si>
  <si>
    <t>13.03.2022</t>
  </si>
  <si>
    <t>Παντελεήμων Καραματσούκης</t>
  </si>
  <si>
    <t>20.03.2024</t>
  </si>
  <si>
    <t>Note</t>
  </si>
  <si>
    <t>30,91</t>
  </si>
  <si>
    <t>Κατηγορία</t>
  </si>
  <si>
    <t>Αγώνισμα</t>
  </si>
  <si>
    <t>Owners</t>
  </si>
  <si>
    <t>Event</t>
  </si>
  <si>
    <t>MEN</t>
  </si>
  <si>
    <t>W</t>
  </si>
  <si>
    <t>WOMEN</t>
  </si>
  <si>
    <t>Date</t>
  </si>
  <si>
    <t>Id</t>
  </si>
  <si>
    <t>Μ</t>
  </si>
  <si>
    <t>Δημήτριος Δημητρακόπουλος</t>
  </si>
  <si>
    <t>07.10.1968</t>
  </si>
  <si>
    <t>25.01.2025</t>
  </si>
  <si>
    <t>Αθήνα, OAKA</t>
  </si>
  <si>
    <t>Gender</t>
  </si>
  <si>
    <t>IDR</t>
  </si>
  <si>
    <t>RaceName</t>
  </si>
  <si>
    <t>TrackType</t>
  </si>
  <si>
    <t>Indoor</t>
  </si>
  <si>
    <t>Female</t>
  </si>
  <si>
    <t>400μ</t>
  </si>
  <si>
    <t>1500μ</t>
  </si>
  <si>
    <t>3000μ Βάδην</t>
  </si>
  <si>
    <t>MARK</t>
  </si>
  <si>
    <t>Town</t>
  </si>
  <si>
    <t>Athlete Name</t>
  </si>
  <si>
    <t>First Name</t>
  </si>
  <si>
    <t>Last Name</t>
  </si>
  <si>
    <t>Date of Birth</t>
  </si>
  <si>
    <t>Age Group</t>
  </si>
  <si>
    <t>Notes</t>
  </si>
  <si>
    <t>Βαλκανικοί Αγώνες</t>
  </si>
  <si>
    <t>Αθηνά Βαινά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</si>
</sst>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.000694444444444444]s.00;m:s.00"/>
  </numFmts>
  <fonts count="4" x14ac:knownFonts="1">
    <font>
      <sz val="11"/>
      <color theme="1"/>
      <name val="Calibri"/>
      <family val="2"/>
      <charset val="161"/>
      <scheme val="minor"/>
    </font>
    <font>
      <b/>
      <sz val="10"/>
      <color theme="1"/>
      <name val="Aptos Display"/>
    </font>
    <font>
      <sz val="10"/>
      <color theme="1"/>
      <name val="Aptos Display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D1" zoomScale="140" zoomScaleNormal="140" workbookViewId="0">
      <pane ySplit="1" topLeftCell="A2" activePane="bottomLeft" state="frozen"/>
      <selection pane="bottomLeft" activeCell="I2" sqref="I2"/>
    </sheetView>
  </sheetViews>
  <sheetFormatPr baseColWidth="10" defaultColWidth="9.1640625" defaultRowHeight="15" customHeight="1" x14ac:dyDescent="0.2"/>
  <cols>
    <col min="1" max="1" width="9.1640625" style="1"/>
    <col min="2" max="2" width="13" style="6" bestFit="1" customWidth="1"/>
    <col min="3" max="4" width="18.83203125" style="6" customWidth="1"/>
    <col min="5" max="5" width="8.6640625" style="8" customWidth="1"/>
    <col min="6" max="6" width="10.6640625" style="8" customWidth="1"/>
    <col min="7" max="7" width="13.6640625" style="16" customWidth="1"/>
    <col min="8" max="8" width="13.6640625" style="8" customWidth="1"/>
    <col min="9" max="9" width="31.6640625" style="1" customWidth="1"/>
    <col min="10" max="10" width="12.6640625" style="8" customWidth="1"/>
    <col min="11" max="11" width="11.6640625" style="8" customWidth="1"/>
    <col min="12" max="12" width="27" style="1" customWidth="1"/>
    <col min="13" max="13" width="26.6640625" style="1" customWidth="1"/>
    <col min="14" max="16384" width="9.1640625" style="1"/>
  </cols>
  <sheetData>
    <row r="1" spans="1:14" ht="15" customHeight="1" x14ac:dyDescent="0.2">
      <c r="A1" s="3" t="s">
        <v>57</v>
      </c>
      <c r="B1" s="3" t="s">
        <v>31</v>
      </c>
      <c r="C1" s="3" t="s">
        <v>42</v>
      </c>
      <c r="D1" s="3" t="s">
        <v>45</v>
      </c>
      <c r="E1" s="7" t="s">
        <v>51</v>
      </c>
      <c r="F1" s="7" t="s">
        <v>43</v>
      </c>
      <c r="G1" s="15" t="s">
        <v>54</v>
      </c>
      <c r="H1" s="7" t="s">
        <v>55</v>
      </c>
      <c r="I1" s="3" t="s">
        <v>53</v>
      </c>
      <c r="J1" s="7" t="s">
        <v>56</v>
      </c>
      <c r="K1" s="7" t="s">
        <v>35</v>
      </c>
      <c r="L1" s="3" t="s">
        <v>52</v>
      </c>
      <c r="M1" s="3" t="s">
        <v>44</v>
      </c>
      <c r="N1" s="3" t="s">
        <v>58</v>
      </c>
    </row>
    <row r="2" spans="1:14" ht="15" customHeight="1" x14ac:dyDescent="0.2">
      <c r="A2" s="1">
        <v>65</v>
      </c>
      <c r="B2" s="6" t="s">
        <v>50</v>
      </c>
      <c r="C2" s="6" t="s">
        <v>47</v>
      </c>
      <c r="D2" s="6" t="s">
        <v>46</v>
      </c>
      <c r="E2" s="17"/>
      <c r="G2" s="16" t="str">
        <f t="shared" ref="G2:G3" si="0">LEFT(I2,FIND(" ",I2))</f>
        <v xml:space="preserve">Αθηνά </v>
      </c>
      <c r="H2" s="16" t="str">
        <f t="shared" ref="H2:H3" si="1">MID(I2,FIND(" ",I2)+1,LEN(I2)-LEN(G2))</f>
        <v>Βαινά</v>
      </c>
      <c r="I2" s="1" t="s">
        <v>60</v>
      </c>
      <c r="J2" s="18"/>
      <c r="K2" s="18">
        <v>46095</v>
      </c>
      <c r="L2" s="1" t="s">
        <v>22</v>
      </c>
      <c r="M2" s="1" t="s">
        <v>59</v>
      </c>
    </row>
    <row r="3" spans="1:14" ht="15" customHeight="1" x14ac:dyDescent="0.2">
      <c r="A3" s="1">
        <v>70</v>
      </c>
      <c r="B3" s="6" t="s">
        <v>49</v>
      </c>
      <c r="C3" s="6" t="s">
        <v>47</v>
      </c>
      <c r="D3" s="6" t="s">
        <v>46</v>
      </c>
      <c r="E3" s="17"/>
      <c r="G3" s="16" t="str">
        <f t="shared" si="0"/>
        <v xml:space="preserve">Παντελεήμων </v>
      </c>
      <c r="H3" s="16" t="str">
        <f t="shared" si="1"/>
        <v>Καραματσούκης</v>
      </c>
      <c r="I3" s="1" t="s">
        <v>24</v>
      </c>
      <c r="J3" s="18"/>
      <c r="K3" s="18">
        <v>46095</v>
      </c>
      <c r="L3" s="1" t="s">
        <v>22</v>
      </c>
      <c r="M3" s="1" t="s">
        <v>59</v>
      </c>
    </row>
    <row r="4" spans="1:14" ht="15" customHeight="1" x14ac:dyDescent="0.2">
      <c r="A4" s="1">
        <v>70</v>
      </c>
      <c r="B4" s="6" t="s">
        <v>48</v>
      </c>
      <c r="C4" s="6" t="s">
        <v>47</v>
      </c>
      <c r="D4" s="6" t="s">
        <v>46</v>
      </c>
      <c r="K4" s="18">
        <v>46095</v>
      </c>
      <c r="L4" s="1" t="s">
        <v>22</v>
      </c>
      <c r="M4" s="1" t="s">
        <v>59</v>
      </c>
    </row>
    <row r="5" spans="1:14" ht="15" customHeight="1" x14ac:dyDescent="0.2">
      <c r="K5" s="18">
        <v>46095</v>
      </c>
      <c r="L5" s="1" t="s">
        <v>22</v>
      </c>
      <c r="M5" s="1" t="s">
        <v>59</v>
      </c>
    </row>
    <row r="6" spans="1:14" ht="15" customHeight="1" x14ac:dyDescent="0.2">
      <c r="K6" s="18">
        <v>46095</v>
      </c>
      <c r="L6" s="1" t="s">
        <v>22</v>
      </c>
      <c r="M6" s="1" t="s">
        <v>59</v>
      </c>
    </row>
    <row r="7" spans="1:14" ht="15" customHeight="1" x14ac:dyDescent="0.2">
      <c r="K7" s="18">
        <v>46095</v>
      </c>
      <c r="L7" s="1" t="s">
        <v>22</v>
      </c>
      <c r="M7" s="1" t="s">
        <v>59</v>
      </c>
    </row>
  </sheetData>
  <autoFilter ref="B1:M3" xr:uid="{00000000-0001-0000-0000-000000000000}">
    <sortState xmlns:xlrd2="http://schemas.microsoft.com/office/spreadsheetml/2017/richdata2" ref="B2:M3">
      <sortCondition ref="B1:B3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F518-E9E4-AA44-9E47-B4655337A346}">
  <dimension ref="A1:K5"/>
  <sheetViews>
    <sheetView workbookViewId="0">
      <selection activeCell="A5" sqref="A5"/>
    </sheetView>
  </sheetViews>
  <sheetFormatPr baseColWidth="10" defaultColWidth="10.83203125" defaultRowHeight="15" x14ac:dyDescent="0.2"/>
  <sheetData>
    <row r="1" spans="1:11" s="1" customFormat="1" ht="15" customHeight="1" x14ac:dyDescent="0.2">
      <c r="A1" s="2" t="s">
        <v>28</v>
      </c>
      <c r="B1" s="7" t="s">
        <v>30</v>
      </c>
      <c r="C1" s="3" t="s">
        <v>29</v>
      </c>
      <c r="D1" s="3" t="s">
        <v>36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7</v>
      </c>
      <c r="J1" s="3" t="s">
        <v>6</v>
      </c>
      <c r="K1" s="3" t="s">
        <v>26</v>
      </c>
    </row>
    <row r="2" spans="1:11" x14ac:dyDescent="0.2">
      <c r="A2" s="9" t="s">
        <v>10</v>
      </c>
      <c r="B2" s="10">
        <v>1</v>
      </c>
      <c r="C2" s="11" t="s">
        <v>17</v>
      </c>
      <c r="D2" s="11" t="str">
        <f t="shared" ref="D2:D5" si="0">CONCATENATE(C2,"-",A2)</f>
        <v>Μήκος-Μ55</v>
      </c>
      <c r="E2" s="12">
        <v>5.39</v>
      </c>
      <c r="F2" s="9" t="s">
        <v>38</v>
      </c>
      <c r="G2" s="13" t="s">
        <v>39</v>
      </c>
      <c r="H2" s="13" t="s">
        <v>40</v>
      </c>
      <c r="I2" s="9" t="s">
        <v>41</v>
      </c>
      <c r="J2" s="9" t="s">
        <v>20</v>
      </c>
      <c r="K2" s="9">
        <v>2025</v>
      </c>
    </row>
    <row r="3" spans="1:11" x14ac:dyDescent="0.2">
      <c r="A3" s="1" t="s">
        <v>10</v>
      </c>
      <c r="B3" s="8">
        <v>1</v>
      </c>
      <c r="C3" s="6">
        <v>60</v>
      </c>
      <c r="D3" s="6" t="str">
        <f t="shared" si="0"/>
        <v>60-Μ55</v>
      </c>
      <c r="E3" s="4">
        <v>8.6805555555555559E-5</v>
      </c>
      <c r="F3" s="1" t="s">
        <v>4</v>
      </c>
      <c r="G3" s="5" t="s">
        <v>5</v>
      </c>
      <c r="H3" s="5" t="s">
        <v>25</v>
      </c>
      <c r="I3" s="1" t="s">
        <v>9</v>
      </c>
      <c r="J3" s="1" t="s">
        <v>15</v>
      </c>
      <c r="K3" s="1"/>
    </row>
    <row r="4" spans="1:11" x14ac:dyDescent="0.2">
      <c r="A4" s="1" t="s">
        <v>11</v>
      </c>
      <c r="B4" s="8">
        <v>2</v>
      </c>
      <c r="C4" s="6">
        <v>60</v>
      </c>
      <c r="D4" s="6" t="str">
        <f t="shared" si="0"/>
        <v>60-Μ70</v>
      </c>
      <c r="E4" s="4">
        <v>1.0324074074074074E-4</v>
      </c>
      <c r="F4" s="1" t="s">
        <v>12</v>
      </c>
      <c r="G4" s="5" t="s">
        <v>13</v>
      </c>
      <c r="H4" s="5" t="s">
        <v>21</v>
      </c>
      <c r="I4" s="1" t="s">
        <v>9</v>
      </c>
      <c r="J4" s="1" t="s">
        <v>8</v>
      </c>
    </row>
    <row r="5" spans="1:11" x14ac:dyDescent="0.2">
      <c r="A5" s="1" t="s">
        <v>18</v>
      </c>
      <c r="B5" s="8">
        <v>1</v>
      </c>
      <c r="C5" s="6">
        <v>200</v>
      </c>
      <c r="D5" s="6" t="str">
        <f t="shared" si="0"/>
        <v>200-W55</v>
      </c>
      <c r="E5" s="14" t="s">
        <v>27</v>
      </c>
      <c r="F5" s="1" t="s">
        <v>16</v>
      </c>
      <c r="G5" s="5" t="s">
        <v>19</v>
      </c>
      <c r="H5" s="5" t="s">
        <v>23</v>
      </c>
      <c r="I5" s="1" t="s">
        <v>22</v>
      </c>
      <c r="J5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0.83203125" defaultRowHeight="15" x14ac:dyDescent="0.2"/>
  <sheetData>
    <row r="1" spans="1:2" x14ac:dyDescent="0.2">
      <c r="A1" t="s">
        <v>37</v>
      </c>
      <c r="B1" t="s">
        <v>32</v>
      </c>
    </row>
    <row r="2" spans="1:2" x14ac:dyDescent="0.2">
      <c r="A2" t="s">
        <v>33</v>
      </c>
      <c r="B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Records</vt:lpstr>
      <vt:lpstr>Καταρίψεις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2026-03-16T06:13:02Z</dcterms:modified>
</cp:coreProperties>
</file>