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filterPrivacy="1" defaultThemeVersion="124226"/>
  <xr:revisionPtr revIDLastSave="0" documentId="13_ncr:1_{FB0DFB4E-4155-1D42-B761-6DA1A4752358}" xr6:coauthVersionLast="47" xr6:coauthVersionMax="47" xr10:uidLastSave="{00000000-0000-0000-0000-000000000000}"/>
  <bookViews>
    <workbookView xWindow="-41640" yWindow="2740" windowWidth="34260" windowHeight="21000" xr2:uid="{00000000-000D-0000-FFFF-FFFF00000000}"/>
  </bookViews>
  <sheets>
    <sheet name="National Records" sheetId="1" r:id="rId1"/>
    <sheet name="Καταρίψεις" sheetId="5" r:id="rId2"/>
    <sheet name="Settings" sheetId="4" r:id="rId3"/>
  </sheets>
  <definedNames>
    <definedName name="_xlnm._FilterDatabase" localSheetId="0" hidden="1">'National Records'!$B$1:$M$102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1" l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D5" i="5"/>
  <c r="D4" i="5"/>
  <c r="D3" i="5"/>
  <c r="D2" i="5"/>
</calcChain>
</file>

<file path=xl/sharedStrings.xml><?xml version="1.0" encoding="utf-8"?>
<sst xmlns="http://schemas.openxmlformats.org/spreadsheetml/2006/main" count="981" uniqueCount="380">
  <si>
    <t>Επίδοση</t>
  </si>
  <si>
    <t xml:space="preserve">Ονοματεπώνυμο </t>
  </si>
  <si>
    <t>Ημ. Γέννησης</t>
  </si>
  <si>
    <t xml:space="preserve">Ημερομηνία </t>
  </si>
  <si>
    <t>Αθήνα</t>
  </si>
  <si>
    <t>Μάριος Χριστοφορίδης</t>
  </si>
  <si>
    <t>16.06.1968</t>
  </si>
  <si>
    <t xml:space="preserve">Διοργάνωση </t>
  </si>
  <si>
    <t>Τόπος</t>
  </si>
  <si>
    <t>Παγκόσμιο Πρωτάθλημα</t>
  </si>
  <si>
    <t>Τόρουν, Πολωνία</t>
  </si>
  <si>
    <t>Μ55</t>
  </si>
  <si>
    <t>Βλαδίμηρος Ντεκάιλο</t>
  </si>
  <si>
    <t>Ημερίδα</t>
  </si>
  <si>
    <t>Μ70</t>
  </si>
  <si>
    <t>Παύλος Χαραλαμπίδης</t>
  </si>
  <si>
    <t>21.08.1948</t>
  </si>
  <si>
    <t>Δημήτριος Ομηρίδης</t>
  </si>
  <si>
    <t>Βελιγράδι, Σερβία</t>
  </si>
  <si>
    <t>Βαλκανικό Πρωτάθλημα</t>
  </si>
  <si>
    <t>Κωνσταντίνος Χατζηεμμανουήλ</t>
  </si>
  <si>
    <t>Πανελλήνιο Πρωτάθλημα Α/Γ</t>
  </si>
  <si>
    <t>Μαδρίτη, Ισπανία</t>
  </si>
  <si>
    <t>Πανευρωπαϊκό Πρωτάθλημα</t>
  </si>
  <si>
    <t>Μπέρμινχαμ, Μ. Βρετανία</t>
  </si>
  <si>
    <t>Κλερμόν Φεράν, Γαλλία</t>
  </si>
  <si>
    <t>Παναγιώτης Δούσης</t>
  </si>
  <si>
    <t>Κων/πολη, Τουρκία</t>
  </si>
  <si>
    <t>Άννα Δάφτσου</t>
  </si>
  <si>
    <t>Μαρία Μουρατίδου</t>
  </si>
  <si>
    <t>Μήκος</t>
  </si>
  <si>
    <t>Ιωάννης Μπέλλος</t>
  </si>
  <si>
    <t>Σαν Σεμπαστιάν, Ισπανία</t>
  </si>
  <si>
    <t>Ευρωπαϊκό Πρωτάθλημα</t>
  </si>
  <si>
    <t>Παναγιώτης Κονταξάκης</t>
  </si>
  <si>
    <t>Βασίλειος Ανδρεάδης</t>
  </si>
  <si>
    <t>Γεώργιος Φαρμάκης</t>
  </si>
  <si>
    <t>Γιβάσκιλα, Φινλανδία</t>
  </si>
  <si>
    <t>Μήλλας</t>
  </si>
  <si>
    <t>Κωνσταντίνος Τζήβας</t>
  </si>
  <si>
    <t>Ανδρέας Τσώνης</t>
  </si>
  <si>
    <t>Λούης Τσάτουμας</t>
  </si>
  <si>
    <t>Νικόλαος Αρβανίτης</t>
  </si>
  <si>
    <t>Δημήτριος Τσιάμης</t>
  </si>
  <si>
    <t>Αθήνα, ΣΕΦ</t>
  </si>
  <si>
    <t>Οδυσσέας Σκαματζούρας</t>
  </si>
  <si>
    <t>Τριπλούν</t>
  </si>
  <si>
    <t>Παναγιώτης Μπαχαρίδης</t>
  </si>
  <si>
    <t>Ιμπράιμ Φαναρτζής</t>
  </si>
  <si>
    <t>Βασίλειος Μαγγανάς</t>
  </si>
  <si>
    <t>Δημήτριος Πασιώτης</t>
  </si>
  <si>
    <t>Γάνδη, Βέλγιο</t>
  </si>
  <si>
    <t>Λιντς, Αυστρία</t>
  </si>
  <si>
    <t>Μάγδα Ροϊλλίδου</t>
  </si>
  <si>
    <t>W55</t>
  </si>
  <si>
    <t>Φανή Λύκου</t>
  </si>
  <si>
    <t>Αθήνα, Αγ. Κοσμάς</t>
  </si>
  <si>
    <t>12.03.1967</t>
  </si>
  <si>
    <t>Μαρία Τζάνου</t>
  </si>
  <si>
    <t>Σταματία Φώτα</t>
  </si>
  <si>
    <t>Σοφία Υφαντίδου</t>
  </si>
  <si>
    <t>Αγνή Γεωργίου</t>
  </si>
  <si>
    <t>Παρασκευή Σιδερίδου</t>
  </si>
  <si>
    <t>Ρενάτα Μπολσακοβάιτε </t>
  </si>
  <si>
    <t>Σοφία Φιλιπάκη</t>
  </si>
  <si>
    <t>Γιασμίνα Ευθυμία Σταματοπούλου</t>
  </si>
  <si>
    <t>Ημερίδα ΟΕΒΑΣ</t>
  </si>
  <si>
    <t>Σπυρίδων Τουρκομανώλης</t>
  </si>
  <si>
    <t>Ανκόνα, Ιταλία</t>
  </si>
  <si>
    <t>Ημερίδα ΣΕΓΑΣ</t>
  </si>
  <si>
    <t xml:space="preserve">Πανελλήνιο Πρωτάθλημα </t>
  </si>
  <si>
    <t>Μπορντώ, Γαλλία</t>
  </si>
  <si>
    <t>Παναγιώτης Πανάγος</t>
  </si>
  <si>
    <t>Ανδρέας Ρίζος</t>
  </si>
  <si>
    <t>Θεσσαλονίκη</t>
  </si>
  <si>
    <t>Νικόλαος Καρατάσος</t>
  </si>
  <si>
    <t>Ρήγας Ευσταθιάδης</t>
  </si>
  <si>
    <t>Άγγελος Αναστασιάδης</t>
  </si>
  <si>
    <t>Εσκιλστούνα, Φινλανδία</t>
  </si>
  <si>
    <t xml:space="preserve">Διονύσιος Αυγουστάτος </t>
  </si>
  <si>
    <t xml:space="preserve">Γρηγ Σαββίδης </t>
  </si>
  <si>
    <t>Κωνσταντίνος Χατζηαργυρίου</t>
  </si>
  <si>
    <t>Νικόλαος Δέδες</t>
  </si>
  <si>
    <t xml:space="preserve">Ημερίδα </t>
  </si>
  <si>
    <t>25.03.2019</t>
  </si>
  <si>
    <t>Απόστολος Βότσης</t>
  </si>
  <si>
    <t>Αθανάσιος Καλατζής</t>
  </si>
  <si>
    <t>Ελένη Γκούζια</t>
  </si>
  <si>
    <t>Μαρία Πολομαρκάκη</t>
  </si>
  <si>
    <t>Νίκη Μπακογιάννη</t>
  </si>
  <si>
    <t>Ζιντελφίγκεν, Γερμανία</t>
  </si>
  <si>
    <t>Νικόλαος Λάμαρης</t>
  </si>
  <si>
    <t>Νέα Υόρκη, ΗΠΑ</t>
  </si>
  <si>
    <t>Armory Open Sprint Night</t>
  </si>
  <si>
    <t>Νόβο Μέστο, Σλοβενία</t>
  </si>
  <si>
    <t>Παντελής Χρυσοχός</t>
  </si>
  <si>
    <t>13.03.2022</t>
  </si>
  <si>
    <t>Νόβο Μέστο, Σλοβεβία</t>
  </si>
  <si>
    <t>Παναγιώτης Μανωλόπουλος</t>
  </si>
  <si>
    <t>Νικολέτα Κυριακοπούλου</t>
  </si>
  <si>
    <t>Ιωάννα Πανάβογλου</t>
  </si>
  <si>
    <t>20.03.2024</t>
  </si>
  <si>
    <t>Υψος</t>
  </si>
  <si>
    <t>Note</t>
  </si>
  <si>
    <t>30,91</t>
  </si>
  <si>
    <t>Κατηγορία</t>
  </si>
  <si>
    <t>Αγώνισμα</t>
  </si>
  <si>
    <t>Owners</t>
  </si>
  <si>
    <t>Event</t>
  </si>
  <si>
    <t>MEN</t>
  </si>
  <si>
    <t>W</t>
  </si>
  <si>
    <t>WOMEN</t>
  </si>
  <si>
    <t>Date</t>
  </si>
  <si>
    <t>Id</t>
  </si>
  <si>
    <t>Μ</t>
  </si>
  <si>
    <t>Δημήτριος Δημητρακόπουλος</t>
  </si>
  <si>
    <t>07.10.1968</t>
  </si>
  <si>
    <t>25.01.2025</t>
  </si>
  <si>
    <t>Αθήνα, OAKA</t>
  </si>
  <si>
    <t>Τορόντο</t>
  </si>
  <si>
    <t>Ημερίδας</t>
  </si>
  <si>
    <t>Gender</t>
  </si>
  <si>
    <t>Male</t>
  </si>
  <si>
    <t>IDR</t>
  </si>
  <si>
    <t>RaceName</t>
  </si>
  <si>
    <t>TrackType</t>
  </si>
  <si>
    <t>Indoor</t>
  </si>
  <si>
    <t>Female</t>
  </si>
  <si>
    <t>Επι Κοντώ</t>
  </si>
  <si>
    <t>Σφαίρα</t>
  </si>
  <si>
    <t>Age Group</t>
  </si>
  <si>
    <t>MARK</t>
  </si>
  <si>
    <t>First Name</t>
  </si>
  <si>
    <t>Last Name</t>
  </si>
  <si>
    <t>Athlete Name</t>
  </si>
  <si>
    <t>Date of Birth</t>
  </si>
  <si>
    <t>Town</t>
  </si>
  <si>
    <t>Notes</t>
  </si>
  <si>
    <t>Μ35 (7.26)</t>
  </si>
  <si>
    <t>Μ40 (7.26)</t>
  </si>
  <si>
    <t>Μ45 (7.26)</t>
  </si>
  <si>
    <t>Μ50 (6.00)</t>
  </si>
  <si>
    <t>Μ55 (6.00)</t>
  </si>
  <si>
    <t>Μ60 (5.00)</t>
  </si>
  <si>
    <t>Μ65 (5.00)</t>
  </si>
  <si>
    <t>Μ70 (4.00)</t>
  </si>
  <si>
    <t>Μ75 (4.00)</t>
  </si>
  <si>
    <t>Μ80 (3.00)</t>
  </si>
  <si>
    <t>Μ85 (3.00)</t>
  </si>
  <si>
    <t>Μ90 (3.00)</t>
  </si>
  <si>
    <t>Μ95 (3.00)</t>
  </si>
  <si>
    <t>Μ40 (15.88)</t>
  </si>
  <si>
    <t>Μ45 (15.88)</t>
  </si>
  <si>
    <t>Μ50 (11.34)</t>
  </si>
  <si>
    <t>Μ55 (11.34)</t>
  </si>
  <si>
    <t>Μ60 (9.072)</t>
  </si>
  <si>
    <t>Μ65 (9.072)</t>
  </si>
  <si>
    <t>W35 (4.00)</t>
  </si>
  <si>
    <t>W40 (4.00)</t>
  </si>
  <si>
    <t>W45 (4.00)</t>
  </si>
  <si>
    <t>W50 (3.00)</t>
  </si>
  <si>
    <t>W55 (3.00)</t>
  </si>
  <si>
    <t>W60 (3.00)</t>
  </si>
  <si>
    <t>W65 (3.00)</t>
  </si>
  <si>
    <t>W70 (3.00)</t>
  </si>
  <si>
    <t>W75 (2.00)</t>
  </si>
  <si>
    <t>W80 (2.00)</t>
  </si>
  <si>
    <t>W85 (2.00)</t>
  </si>
  <si>
    <t>W90 (2.00)</t>
  </si>
  <si>
    <t>W55 (7.260)</t>
  </si>
  <si>
    <t>W70 (5.450)</t>
  </si>
  <si>
    <t>2.11</t>
  </si>
  <si>
    <t>1.90</t>
  </si>
  <si>
    <t>1.80</t>
  </si>
  <si>
    <t>1.86</t>
  </si>
  <si>
    <t>1.78</t>
  </si>
  <si>
    <t>1.55</t>
  </si>
  <si>
    <t>1.50</t>
  </si>
  <si>
    <t>1.51</t>
  </si>
  <si>
    <t>1.33</t>
  </si>
  <si>
    <t>1.15</t>
  </si>
  <si>
    <t>1.14</t>
  </si>
  <si>
    <t>5.05</t>
  </si>
  <si>
    <t>4.60</t>
  </si>
  <si>
    <t>4.30</t>
  </si>
  <si>
    <t>3.85</t>
  </si>
  <si>
    <t>3.30</t>
  </si>
  <si>
    <t>3.10</t>
  </si>
  <si>
    <t>2.70</t>
  </si>
  <si>
    <t>2.40</t>
  </si>
  <si>
    <t>6.95</t>
  </si>
  <si>
    <t>6.09</t>
  </si>
  <si>
    <t>5.73</t>
  </si>
  <si>
    <t>5.55</t>
  </si>
  <si>
    <t>5.15</t>
  </si>
  <si>
    <t>4.94</t>
  </si>
  <si>
    <t>4.53</t>
  </si>
  <si>
    <t>4.06</t>
  </si>
  <si>
    <t>3.01</t>
  </si>
  <si>
    <t>3.27</t>
  </si>
  <si>
    <t>1.91</t>
  </si>
  <si>
    <t>1.63</t>
  </si>
  <si>
    <t>16.42</t>
  </si>
  <si>
    <t>16.52</t>
  </si>
  <si>
    <t>13.25</t>
  </si>
  <si>
    <t>12.48</t>
  </si>
  <si>
    <t>11.91</t>
  </si>
  <si>
    <t>11.38</t>
  </si>
  <si>
    <t>10.91</t>
  </si>
  <si>
    <t>9.68</t>
  </si>
  <si>
    <t>7.87</t>
  </si>
  <si>
    <t>6.45</t>
  </si>
  <si>
    <t>17.76</t>
  </si>
  <si>
    <t>16.03</t>
  </si>
  <si>
    <t>15.53</t>
  </si>
  <si>
    <t>15.29</t>
  </si>
  <si>
    <t>13.89</t>
  </si>
  <si>
    <t>14.75</t>
  </si>
  <si>
    <t>12.43</t>
  </si>
  <si>
    <t>12.23</t>
  </si>
  <si>
    <t>9.77</t>
  </si>
  <si>
    <t>9.89</t>
  </si>
  <si>
    <t>9.25</t>
  </si>
  <si>
    <t>5.35</t>
  </si>
  <si>
    <t>4.81</t>
  </si>
  <si>
    <t>13.09</t>
  </si>
  <si>
    <t>12.20</t>
  </si>
  <si>
    <t>20.01</t>
  </si>
  <si>
    <t>19.23</t>
  </si>
  <si>
    <t>20.68</t>
  </si>
  <si>
    <t>9.61</t>
  </si>
  <si>
    <t>1.87</t>
  </si>
  <si>
    <t>1.35</t>
  </si>
  <si>
    <t>1.25</t>
  </si>
  <si>
    <t>1.03</t>
  </si>
  <si>
    <t>1.06</t>
  </si>
  <si>
    <t>1.09</t>
  </si>
  <si>
    <t>4.40</t>
  </si>
  <si>
    <t>5.51</t>
  </si>
  <si>
    <t>4.95</t>
  </si>
  <si>
    <t>5.16</t>
  </si>
  <si>
    <t>4.25</t>
  </si>
  <si>
    <t>3.41</t>
  </si>
  <si>
    <t>3.35</t>
  </si>
  <si>
    <t>3.22</t>
  </si>
  <si>
    <t>3.20</t>
  </si>
  <si>
    <t>12.01</t>
  </si>
  <si>
    <t>10.83</t>
  </si>
  <si>
    <t>10.78</t>
  </si>
  <si>
    <t>7.01</t>
  </si>
  <si>
    <t>7.90</t>
  </si>
  <si>
    <t>13.88</t>
  </si>
  <si>
    <t>10.08</t>
  </si>
  <si>
    <t>8.70</t>
  </si>
  <si>
    <t>8.79</t>
  </si>
  <si>
    <t>9.45</t>
  </si>
  <si>
    <t>10.18</t>
  </si>
  <si>
    <t>10.49</t>
  </si>
  <si>
    <t>5.03</t>
  </si>
  <si>
    <t>5.34</t>
  </si>
  <si>
    <t>4.67</t>
  </si>
  <si>
    <t>3.32</t>
  </si>
  <si>
    <t>10.42</t>
  </si>
  <si>
    <t>10.61</t>
  </si>
  <si>
    <t>20/03/1016</t>
  </si>
  <si>
    <t>16/08/1964</t>
  </si>
  <si>
    <t>01/01/1999</t>
  </si>
  <si>
    <t>01/01/1958</t>
  </si>
  <si>
    <t>01/01/2001</t>
  </si>
  <si>
    <t>14/02/1954</t>
  </si>
  <si>
    <t>07/03/1965</t>
  </si>
  <si>
    <t>19/03/2018</t>
  </si>
  <si>
    <t>17/03/2024</t>
  </si>
  <si>
    <t>01/01/2014</t>
  </si>
  <si>
    <t>23/02/2020</t>
  </si>
  <si>
    <t>21/03/2024</t>
  </si>
  <si>
    <t>08/12/1936</t>
  </si>
  <si>
    <t>06/04/2012</t>
  </si>
  <si>
    <t>00/01/1900</t>
  </si>
  <si>
    <t>04/02/2023</t>
  </si>
  <si>
    <t>01/01/1962</t>
  </si>
  <si>
    <t>01/01/1997</t>
  </si>
  <si>
    <t>01/01/2003</t>
  </si>
  <si>
    <t>11/03/1965</t>
  </si>
  <si>
    <t>31/01/2015</t>
  </si>
  <si>
    <t>07/11/1952</t>
  </si>
  <si>
    <t>01/01/2010</t>
  </si>
  <si>
    <t>29/11/1930</t>
  </si>
  <si>
    <t>01/01/1992</t>
  </si>
  <si>
    <t>01/01/1996</t>
  </si>
  <si>
    <t>07/04/1941</t>
  </si>
  <si>
    <t>01/01/2012</t>
  </si>
  <si>
    <t>01/01/2017</t>
  </si>
  <si>
    <t>12/02/1982</t>
  </si>
  <si>
    <t>18/02/2017</t>
  </si>
  <si>
    <t>12/01/1982</t>
  </si>
  <si>
    <t>19/02/2023</t>
  </si>
  <si>
    <t>12/01/1944</t>
  </si>
  <si>
    <t>01/01/1991</t>
  </si>
  <si>
    <t>26/10/1970</t>
  </si>
  <si>
    <t>27/12/2020</t>
  </si>
  <si>
    <t>01/02/2026</t>
  </si>
  <si>
    <t>15/10/1951</t>
  </si>
  <si>
    <t>19/03/2024</t>
  </si>
  <si>
    <t>10/01/1945</t>
  </si>
  <si>
    <t>01/01/1914</t>
  </si>
  <si>
    <t>01/01/1994</t>
  </si>
  <si>
    <t>25/01/1929</t>
  </si>
  <si>
    <t>08/03/2020</t>
  </si>
  <si>
    <t>13/03/2022</t>
  </si>
  <si>
    <t>23/09/1933</t>
  </si>
  <si>
    <t>20/03/2024</t>
  </si>
  <si>
    <t>12/02/2021</t>
  </si>
  <si>
    <t>18/02/2023</t>
  </si>
  <si>
    <t>27/10/1966</t>
  </si>
  <si>
    <t>24/03/2013</t>
  </si>
  <si>
    <t>21/08/1967</t>
  </si>
  <si>
    <t>21/03/2018</t>
  </si>
  <si>
    <t>25/10/1956</t>
  </si>
  <si>
    <t>08/04/2012</t>
  </si>
  <si>
    <t>20/02/2022</t>
  </si>
  <si>
    <t>07/03/2018</t>
  </si>
  <si>
    <t>31/05/1981</t>
  </si>
  <si>
    <t>25/01/2019</t>
  </si>
  <si>
    <t>10/11/1970</t>
  </si>
  <si>
    <t>07/05/1954</t>
  </si>
  <si>
    <t>29/02/2004</t>
  </si>
  <si>
    <t>01/01/2005</t>
  </si>
  <si>
    <t>01/01/2011</t>
  </si>
  <si>
    <t>16/10/1937</t>
  </si>
  <si>
    <t>18/01/1998</t>
  </si>
  <si>
    <t>01/01/1947</t>
  </si>
  <si>
    <t>01/01/2018</t>
  </si>
  <si>
    <t>01/01/1940</t>
  </si>
  <si>
    <t>01/01/2015</t>
  </si>
  <si>
    <t>28/03/2019</t>
  </si>
  <si>
    <t>01/01/1966</t>
  </si>
  <si>
    <t>01/01/2009</t>
  </si>
  <si>
    <t>01/01/1955</t>
  </si>
  <si>
    <t>22/03/2008</t>
  </si>
  <si>
    <t>19/03/2011</t>
  </si>
  <si>
    <t>12/06/1951</t>
  </si>
  <si>
    <t>26/02/2017</t>
  </si>
  <si>
    <t>09/06/1968</t>
  </si>
  <si>
    <t>08/02/2004</t>
  </si>
  <si>
    <t>13/02/1976</t>
  </si>
  <si>
    <t>29/03/2019</t>
  </si>
  <si>
    <t>23/09/1967</t>
  </si>
  <si>
    <t>02/03/2019</t>
  </si>
  <si>
    <t>07/01/1945</t>
  </si>
  <si>
    <t>01/01/2004</t>
  </si>
  <si>
    <t>01/01/2006</t>
  </si>
  <si>
    <t>27/03/2015</t>
  </si>
  <si>
    <t>21/03/1986</t>
  </si>
  <si>
    <t>10/01/1985</t>
  </si>
  <si>
    <t>16/02/2020</t>
  </si>
  <si>
    <t>02/02/2020</t>
  </si>
  <si>
    <t>25/09/1970</t>
  </si>
  <si>
    <t>19/03/2023</t>
  </si>
  <si>
    <t>22/03/1957</t>
  </si>
  <si>
    <t>11/03/2018</t>
  </si>
  <si>
    <t>16/03/2011</t>
  </si>
  <si>
    <t>01/01/1960</t>
  </si>
  <si>
    <t>12/02/1995</t>
  </si>
  <si>
    <t>27/03/2019</t>
  </si>
  <si>
    <t>29/01/2022</t>
  </si>
  <si>
    <t>22/11/1951</t>
  </si>
  <si>
    <t>01/01/1977</t>
  </si>
  <si>
    <t>15/02/2015</t>
  </si>
  <si>
    <t>19/06/1976</t>
  </si>
  <si>
    <t>09/05/1977</t>
  </si>
  <si>
    <t>22/07/1966</t>
  </si>
  <si>
    <t>18/12/1960</t>
  </si>
  <si>
    <t>27/03/2023</t>
  </si>
  <si>
    <t>06/12/1933</t>
  </si>
  <si>
    <t>01/01/2008</t>
  </si>
  <si>
    <t>10/02/2024</t>
  </si>
  <si>
    <t>28/03/2023</t>
  </si>
  <si>
    <t xml:space="preserve">Μιχαήλ Μαλατίδης </t>
  </si>
  <si>
    <t>Βαρύ Όργανο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</si>
</sst>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0.000694444444444444]s.00;m:s.00"/>
  </numFmts>
  <fonts count="4" x14ac:knownFonts="1">
    <font>
      <sz val="11"/>
      <color theme="1"/>
      <name val="Calibri"/>
      <family val="2"/>
      <charset val="161"/>
      <scheme val="minor"/>
    </font>
    <font>
      <b/>
      <sz val="10"/>
      <color theme="1"/>
      <name val="Aptos Display"/>
    </font>
    <font>
      <sz val="10"/>
      <color theme="1"/>
      <name val="Aptos Display"/>
    </font>
    <font>
      <sz val="10"/>
      <name val="Aptos Display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2"/>
  <sheetViews>
    <sheetView tabSelected="1" zoomScale="140" zoomScaleNormal="140" workbookViewId="0">
      <pane ySplit="1" topLeftCell="A2" activePane="bottomLeft" state="frozen"/>
      <selection pane="bottomLeft" activeCell="B61" sqref="B61"/>
    </sheetView>
  </sheetViews>
  <sheetFormatPr baseColWidth="10" defaultColWidth="9.1640625" defaultRowHeight="15" customHeight="1" x14ac:dyDescent="0.2"/>
  <cols>
    <col min="1" max="1" width="9.1640625" style="1"/>
    <col min="2" max="2" width="14" style="6" bestFit="1" customWidth="1"/>
    <col min="3" max="4" width="18.83203125" style="6" customWidth="1"/>
    <col min="5" max="5" width="8.6640625" style="1" customWidth="1"/>
    <col min="6" max="6" width="10.6640625" style="8" customWidth="1"/>
    <col min="7" max="7" width="13.6640625" style="18" customWidth="1"/>
    <col min="8" max="8" width="13.6640625" style="8" customWidth="1"/>
    <col min="9" max="9" width="31.6640625" style="1" customWidth="1"/>
    <col min="10" max="10" width="12.6640625" style="1" customWidth="1"/>
    <col min="11" max="11" width="11.6640625" style="1" customWidth="1"/>
    <col min="12" max="12" width="27" style="1" customWidth="1"/>
    <col min="13" max="13" width="26.6640625" style="1" customWidth="1"/>
    <col min="14" max="16384" width="9.1640625" style="1"/>
  </cols>
  <sheetData>
    <row r="1" spans="1:14" ht="15" customHeight="1" x14ac:dyDescent="0.2">
      <c r="A1" s="3" t="s">
        <v>130</v>
      </c>
      <c r="B1" s="3" t="s">
        <v>108</v>
      </c>
      <c r="C1" s="3" t="s">
        <v>121</v>
      </c>
      <c r="D1" s="3" t="s">
        <v>125</v>
      </c>
      <c r="E1" s="7" t="s">
        <v>131</v>
      </c>
      <c r="F1" s="7" t="s">
        <v>123</v>
      </c>
      <c r="G1" s="17" t="s">
        <v>132</v>
      </c>
      <c r="H1" s="7" t="s">
        <v>133</v>
      </c>
      <c r="I1" s="3" t="s">
        <v>134</v>
      </c>
      <c r="J1" s="7" t="s">
        <v>135</v>
      </c>
      <c r="K1" s="7" t="s">
        <v>112</v>
      </c>
      <c r="L1" s="3" t="s">
        <v>136</v>
      </c>
      <c r="M1" s="3" t="s">
        <v>124</v>
      </c>
      <c r="N1" s="3" t="s">
        <v>137</v>
      </c>
    </row>
    <row r="2" spans="1:14" ht="15" hidden="1" customHeight="1" x14ac:dyDescent="0.2">
      <c r="A2" s="1">
        <v>35</v>
      </c>
      <c r="B2" s="6" t="s">
        <v>102</v>
      </c>
      <c r="C2" s="6" t="s">
        <v>122</v>
      </c>
      <c r="D2" s="6" t="s">
        <v>126</v>
      </c>
      <c r="E2" s="15" t="s">
        <v>171</v>
      </c>
      <c r="F2" s="8">
        <v>1</v>
      </c>
      <c r="G2" s="18" t="str">
        <f t="shared" ref="G2:G26" si="0">LEFT(I2,FIND(" ",I2))</f>
        <v xml:space="preserve">Παναγιώτης </v>
      </c>
      <c r="H2" s="18" t="str">
        <f t="shared" ref="H2:H26" si="1">MID(I2,FIND(" ",I2)+1,LEN(I2)-LEN(G2))</f>
        <v>Κονταξάκης</v>
      </c>
      <c r="I2" s="1" t="s">
        <v>34</v>
      </c>
      <c r="J2" s="19" t="s">
        <v>265</v>
      </c>
      <c r="K2" s="5" t="s">
        <v>266</v>
      </c>
      <c r="L2" s="1" t="s">
        <v>44</v>
      </c>
      <c r="M2" s="1" t="s">
        <v>69</v>
      </c>
    </row>
    <row r="3" spans="1:14" ht="15" hidden="1" customHeight="1" x14ac:dyDescent="0.2">
      <c r="A3" s="1">
        <v>40</v>
      </c>
      <c r="B3" s="6" t="s">
        <v>102</v>
      </c>
      <c r="C3" s="6" t="s">
        <v>122</v>
      </c>
      <c r="D3" s="6" t="s">
        <v>126</v>
      </c>
      <c r="E3" s="15" t="s">
        <v>172</v>
      </c>
      <c r="F3" s="8">
        <v>1</v>
      </c>
      <c r="G3" s="18" t="str">
        <f t="shared" si="0"/>
        <v xml:space="preserve">Παναγιώτης </v>
      </c>
      <c r="H3" s="18" t="str">
        <f t="shared" si="1"/>
        <v>Πανάγος</v>
      </c>
      <c r="I3" s="1" t="s">
        <v>72</v>
      </c>
      <c r="J3" s="5" t="s">
        <v>267</v>
      </c>
      <c r="K3" s="5" t="s">
        <v>268</v>
      </c>
      <c r="L3" s="1" t="s">
        <v>71</v>
      </c>
      <c r="M3" s="1" t="s">
        <v>23</v>
      </c>
    </row>
    <row r="4" spans="1:14" ht="15" hidden="1" customHeight="1" x14ac:dyDescent="0.2">
      <c r="A4" s="1">
        <v>45</v>
      </c>
      <c r="B4" s="6" t="s">
        <v>102</v>
      </c>
      <c r="C4" s="6" t="s">
        <v>122</v>
      </c>
      <c r="D4" s="6" t="s">
        <v>126</v>
      </c>
      <c r="E4" s="15" t="s">
        <v>173</v>
      </c>
      <c r="F4" s="8">
        <v>1</v>
      </c>
      <c r="G4" s="18" t="str">
        <f t="shared" si="0"/>
        <v xml:space="preserve">Βασίλειος </v>
      </c>
      <c r="H4" s="18" t="str">
        <f t="shared" si="1"/>
        <v>Ανδρεάδης</v>
      </c>
      <c r="I4" s="1" t="s">
        <v>35</v>
      </c>
      <c r="J4" s="19" t="s">
        <v>269</v>
      </c>
      <c r="K4" s="5" t="s">
        <v>266</v>
      </c>
      <c r="L4" s="1" t="s">
        <v>44</v>
      </c>
      <c r="M4" s="1" t="s">
        <v>70</v>
      </c>
    </row>
    <row r="5" spans="1:14" ht="15" hidden="1" customHeight="1" x14ac:dyDescent="0.2">
      <c r="A5" s="1">
        <v>50</v>
      </c>
      <c r="B5" s="6" t="s">
        <v>102</v>
      </c>
      <c r="C5" s="6" t="s">
        <v>122</v>
      </c>
      <c r="D5" s="6" t="s">
        <v>126</v>
      </c>
      <c r="E5" s="15" t="s">
        <v>174</v>
      </c>
      <c r="F5" s="8">
        <v>1</v>
      </c>
      <c r="G5" s="18" t="str">
        <f t="shared" si="0"/>
        <v xml:space="preserve">Γεώργιος </v>
      </c>
      <c r="H5" s="18" t="str">
        <f t="shared" si="1"/>
        <v>Φαρμάκης</v>
      </c>
      <c r="I5" s="1" t="s">
        <v>36</v>
      </c>
      <c r="J5" s="19" t="s">
        <v>270</v>
      </c>
      <c r="K5" s="19" t="s">
        <v>271</v>
      </c>
      <c r="L5" s="1" t="s">
        <v>22</v>
      </c>
      <c r="M5" s="1" t="s">
        <v>33</v>
      </c>
    </row>
    <row r="6" spans="1:14" ht="15" hidden="1" customHeight="1" x14ac:dyDescent="0.2">
      <c r="A6" s="1">
        <v>55</v>
      </c>
      <c r="B6" s="6" t="s">
        <v>102</v>
      </c>
      <c r="C6" s="6" t="s">
        <v>122</v>
      </c>
      <c r="D6" s="6" t="s">
        <v>126</v>
      </c>
      <c r="E6" s="15" t="s">
        <v>175</v>
      </c>
      <c r="F6" s="8">
        <v>1</v>
      </c>
      <c r="G6" s="18" t="str">
        <f t="shared" si="0"/>
        <v xml:space="preserve">Γεώργιος </v>
      </c>
      <c r="H6" s="18" t="str">
        <f t="shared" si="1"/>
        <v>Φαρμάκης</v>
      </c>
      <c r="I6" s="1" t="s">
        <v>36</v>
      </c>
      <c r="J6" s="19" t="s">
        <v>270</v>
      </c>
      <c r="K6" s="19" t="s">
        <v>272</v>
      </c>
      <c r="L6" s="1" t="s">
        <v>10</v>
      </c>
      <c r="M6" s="1" t="s">
        <v>23</v>
      </c>
    </row>
    <row r="7" spans="1:14" ht="15" hidden="1" customHeight="1" x14ac:dyDescent="0.2">
      <c r="A7" s="1">
        <v>60</v>
      </c>
      <c r="B7" s="6" t="s">
        <v>102</v>
      </c>
      <c r="C7" s="6" t="s">
        <v>122</v>
      </c>
      <c r="D7" s="6" t="s">
        <v>126</v>
      </c>
      <c r="E7" s="15" t="s">
        <v>176</v>
      </c>
      <c r="F7" s="8">
        <v>1</v>
      </c>
      <c r="G7" s="18" t="str">
        <f t="shared" si="0"/>
        <v xml:space="preserve">Βασίλειος </v>
      </c>
      <c r="H7" s="18" t="str">
        <f t="shared" si="1"/>
        <v>Ανδρεάδης</v>
      </c>
      <c r="I7" s="1" t="s">
        <v>35</v>
      </c>
      <c r="J7" s="19" t="s">
        <v>269</v>
      </c>
      <c r="K7" s="5" t="s">
        <v>273</v>
      </c>
      <c r="L7" s="1" t="s">
        <v>4</v>
      </c>
      <c r="M7" s="14" t="s">
        <v>66</v>
      </c>
    </row>
    <row r="8" spans="1:14" ht="15" hidden="1" customHeight="1" x14ac:dyDescent="0.2">
      <c r="A8" s="1">
        <v>65</v>
      </c>
      <c r="B8" s="6" t="s">
        <v>102</v>
      </c>
      <c r="C8" s="6" t="s">
        <v>122</v>
      </c>
      <c r="D8" s="6" t="s">
        <v>126</v>
      </c>
      <c r="E8" s="15" t="s">
        <v>177</v>
      </c>
      <c r="F8" s="8">
        <v>1</v>
      </c>
      <c r="G8" s="18" t="str">
        <f t="shared" si="0"/>
        <v xml:space="preserve">Βασίλειος </v>
      </c>
      <c r="H8" s="18" t="str">
        <f t="shared" si="1"/>
        <v>Ανδρεάδης</v>
      </c>
      <c r="I8" s="1" t="s">
        <v>35</v>
      </c>
      <c r="J8" s="19" t="s">
        <v>269</v>
      </c>
      <c r="K8" s="19" t="s">
        <v>274</v>
      </c>
      <c r="L8" s="1" t="s">
        <v>56</v>
      </c>
      <c r="M8" s="14" t="s">
        <v>66</v>
      </c>
    </row>
    <row r="9" spans="1:14" ht="15" hidden="1" customHeight="1" x14ac:dyDescent="0.2">
      <c r="A9" s="1">
        <v>70</v>
      </c>
      <c r="B9" s="6" t="s">
        <v>102</v>
      </c>
      <c r="C9" s="6" t="s">
        <v>122</v>
      </c>
      <c r="D9" s="6" t="s">
        <v>126</v>
      </c>
      <c r="E9" s="15" t="s">
        <v>178</v>
      </c>
      <c r="F9" s="8">
        <v>1</v>
      </c>
      <c r="G9" s="18" t="str">
        <f t="shared" si="0"/>
        <v xml:space="preserve">Βασίλειος </v>
      </c>
      <c r="H9" s="18" t="str">
        <f t="shared" si="1"/>
        <v>Ανδρεάδης</v>
      </c>
      <c r="I9" s="1" t="s">
        <v>35</v>
      </c>
      <c r="J9" s="19" t="s">
        <v>269</v>
      </c>
      <c r="K9" s="19" t="s">
        <v>275</v>
      </c>
      <c r="L9" s="1" t="s">
        <v>10</v>
      </c>
      <c r="M9" s="1" t="s">
        <v>23</v>
      </c>
    </row>
    <row r="10" spans="1:14" ht="15" hidden="1" customHeight="1" x14ac:dyDescent="0.2">
      <c r="A10" s="1">
        <v>75</v>
      </c>
      <c r="B10" s="6" t="s">
        <v>102</v>
      </c>
      <c r="C10" s="6" t="s">
        <v>122</v>
      </c>
      <c r="D10" s="6" t="s">
        <v>126</v>
      </c>
      <c r="E10" s="15" t="s">
        <v>179</v>
      </c>
      <c r="F10" s="8">
        <v>1</v>
      </c>
      <c r="G10" s="18" t="str">
        <f t="shared" si="0"/>
        <v xml:space="preserve">Ιωάννης </v>
      </c>
      <c r="H10" s="18" t="str">
        <f t="shared" si="1"/>
        <v>Μπέλλος</v>
      </c>
      <c r="I10" s="1" t="s">
        <v>31</v>
      </c>
      <c r="J10" s="19" t="s">
        <v>276</v>
      </c>
      <c r="K10" s="19" t="s">
        <v>277</v>
      </c>
      <c r="L10" s="1" t="s">
        <v>37</v>
      </c>
      <c r="M10" s="1" t="s">
        <v>9</v>
      </c>
    </row>
    <row r="11" spans="1:14" ht="15" hidden="1" customHeight="1" x14ac:dyDescent="0.2">
      <c r="A11" s="1">
        <v>80</v>
      </c>
      <c r="B11" s="6" t="s">
        <v>102</v>
      </c>
      <c r="C11" s="6" t="s">
        <v>122</v>
      </c>
      <c r="D11" s="6" t="s">
        <v>126</v>
      </c>
      <c r="E11" s="15" t="s">
        <v>180</v>
      </c>
      <c r="F11" s="8">
        <v>1</v>
      </c>
      <c r="H11" s="18"/>
      <c r="I11" s="1" t="s">
        <v>38</v>
      </c>
      <c r="J11" s="5" t="s">
        <v>278</v>
      </c>
      <c r="K11" s="20" t="s">
        <v>274</v>
      </c>
      <c r="L11" s="14" t="s">
        <v>56</v>
      </c>
      <c r="M11" s="14" t="s">
        <v>66</v>
      </c>
    </row>
    <row r="12" spans="1:14" ht="15" hidden="1" customHeight="1" x14ac:dyDescent="0.2">
      <c r="A12" s="1">
        <v>85</v>
      </c>
      <c r="B12" s="6" t="s">
        <v>102</v>
      </c>
      <c r="C12" s="6" t="s">
        <v>122</v>
      </c>
      <c r="D12" s="6" t="s">
        <v>126</v>
      </c>
      <c r="E12" s="15" t="s">
        <v>181</v>
      </c>
      <c r="F12" s="8">
        <v>1</v>
      </c>
      <c r="G12" s="18" t="str">
        <f t="shared" si="0"/>
        <v xml:space="preserve">Ιωάννης </v>
      </c>
      <c r="H12" s="18" t="str">
        <f t="shared" si="1"/>
        <v>Μπέλλος</v>
      </c>
      <c r="I12" s="1" t="s">
        <v>31</v>
      </c>
      <c r="J12" s="19" t="s">
        <v>276</v>
      </c>
      <c r="K12" s="19" t="s">
        <v>279</v>
      </c>
      <c r="L12" s="1" t="s">
        <v>56</v>
      </c>
      <c r="M12" s="14" t="s">
        <v>66</v>
      </c>
    </row>
    <row r="13" spans="1:14" ht="15" hidden="1" customHeight="1" x14ac:dyDescent="0.2">
      <c r="A13" s="1">
        <v>35</v>
      </c>
      <c r="B13" s="6" t="s">
        <v>128</v>
      </c>
      <c r="C13" s="6" t="s">
        <v>122</v>
      </c>
      <c r="D13" s="6" t="s">
        <v>126</v>
      </c>
      <c r="E13" s="15" t="s">
        <v>182</v>
      </c>
      <c r="F13" s="8">
        <v>1</v>
      </c>
      <c r="G13" s="18" t="str">
        <f t="shared" si="0"/>
        <v xml:space="preserve">Κωνσταντίνος </v>
      </c>
      <c r="H13" s="18" t="str">
        <f t="shared" si="1"/>
        <v>Τζήβας</v>
      </c>
      <c r="I13" s="1" t="s">
        <v>39</v>
      </c>
      <c r="J13" s="5" t="s">
        <v>280</v>
      </c>
      <c r="K13" s="5" t="s">
        <v>281</v>
      </c>
      <c r="L13" s="1" t="s">
        <v>44</v>
      </c>
      <c r="M13" s="1" t="s">
        <v>69</v>
      </c>
    </row>
    <row r="14" spans="1:14" ht="15" hidden="1" customHeight="1" x14ac:dyDescent="0.2">
      <c r="A14" s="1">
        <v>40</v>
      </c>
      <c r="B14" s="6" t="s">
        <v>128</v>
      </c>
      <c r="C14" s="6" t="s">
        <v>122</v>
      </c>
      <c r="D14" s="6" t="s">
        <v>126</v>
      </c>
      <c r="E14" s="15" t="s">
        <v>183</v>
      </c>
      <c r="F14" s="8">
        <v>1</v>
      </c>
      <c r="G14" s="18" t="str">
        <f t="shared" si="0"/>
        <v xml:space="preserve">Ανδρέας </v>
      </c>
      <c r="H14" s="18" t="str">
        <f t="shared" si="1"/>
        <v>Τσώνης</v>
      </c>
      <c r="I14" s="1" t="s">
        <v>40</v>
      </c>
      <c r="J14" s="5" t="s">
        <v>267</v>
      </c>
      <c r="K14" s="5" t="s">
        <v>268</v>
      </c>
      <c r="L14" s="1" t="s">
        <v>71</v>
      </c>
      <c r="M14" s="1" t="s">
        <v>23</v>
      </c>
    </row>
    <row r="15" spans="1:14" ht="15" hidden="1" customHeight="1" x14ac:dyDescent="0.2">
      <c r="A15" s="1">
        <v>45</v>
      </c>
      <c r="B15" s="6" t="s">
        <v>128</v>
      </c>
      <c r="C15" s="6" t="s">
        <v>122</v>
      </c>
      <c r="D15" s="6" t="s">
        <v>126</v>
      </c>
      <c r="E15" s="15" t="s">
        <v>184</v>
      </c>
      <c r="F15" s="8">
        <v>1</v>
      </c>
      <c r="G15" s="18" t="str">
        <f t="shared" si="0"/>
        <v xml:space="preserve">Ανδρέας </v>
      </c>
      <c r="H15" s="18" t="str">
        <f t="shared" si="1"/>
        <v>Τσώνης</v>
      </c>
      <c r="I15" s="1" t="s">
        <v>40</v>
      </c>
      <c r="J15" s="5" t="s">
        <v>267</v>
      </c>
      <c r="K15" s="5" t="s">
        <v>282</v>
      </c>
      <c r="L15" s="1" t="s">
        <v>32</v>
      </c>
      <c r="M15" s="1" t="s">
        <v>23</v>
      </c>
    </row>
    <row r="16" spans="1:14" ht="15" hidden="1" customHeight="1" x14ac:dyDescent="0.2">
      <c r="A16" s="1">
        <v>50</v>
      </c>
      <c r="B16" s="6" t="s">
        <v>128</v>
      </c>
      <c r="C16" s="6" t="s">
        <v>122</v>
      </c>
      <c r="D16" s="6" t="s">
        <v>126</v>
      </c>
      <c r="E16" s="15" t="s">
        <v>185</v>
      </c>
      <c r="F16" s="8">
        <v>1</v>
      </c>
      <c r="G16" s="18" t="str">
        <f t="shared" si="0"/>
        <v xml:space="preserve">Ανδρέας </v>
      </c>
      <c r="H16" s="18" t="str">
        <f t="shared" si="1"/>
        <v>Ρίζος</v>
      </c>
      <c r="I16" s="1" t="s">
        <v>73</v>
      </c>
      <c r="J16" s="19" t="s">
        <v>283</v>
      </c>
      <c r="K16" s="19" t="s">
        <v>284</v>
      </c>
      <c r="L16" s="1" t="s">
        <v>74</v>
      </c>
      <c r="M16" s="1" t="s">
        <v>69</v>
      </c>
    </row>
    <row r="17" spans="1:13" ht="15" hidden="1" customHeight="1" x14ac:dyDescent="0.2">
      <c r="A17" s="1">
        <v>55</v>
      </c>
      <c r="B17" s="6" t="s">
        <v>128</v>
      </c>
      <c r="C17" s="6" t="s">
        <v>122</v>
      </c>
      <c r="D17" s="6" t="s">
        <v>126</v>
      </c>
      <c r="E17" s="15" t="s">
        <v>186</v>
      </c>
      <c r="F17" s="8">
        <v>1</v>
      </c>
      <c r="G17" s="18" t="str">
        <f t="shared" si="0"/>
        <v xml:space="preserve">Νικόλαος </v>
      </c>
      <c r="H17" s="18" t="str">
        <f t="shared" si="1"/>
        <v>Καρατάσος</v>
      </c>
      <c r="I17" s="1" t="s">
        <v>75</v>
      </c>
      <c r="J17" s="19" t="s">
        <v>285</v>
      </c>
      <c r="K17" s="5" t="s">
        <v>286</v>
      </c>
      <c r="L17" s="1" t="s">
        <v>4</v>
      </c>
      <c r="M17" s="1" t="s">
        <v>66</v>
      </c>
    </row>
    <row r="18" spans="1:13" ht="15" hidden="1" customHeight="1" x14ac:dyDescent="0.2">
      <c r="A18" s="1">
        <v>60</v>
      </c>
      <c r="B18" s="6" t="s">
        <v>128</v>
      </c>
      <c r="C18" s="6" t="s">
        <v>122</v>
      </c>
      <c r="D18" s="6" t="s">
        <v>126</v>
      </c>
      <c r="E18" s="15" t="s">
        <v>187</v>
      </c>
      <c r="F18" s="8">
        <v>1</v>
      </c>
      <c r="G18" s="18" t="str">
        <f t="shared" si="0"/>
        <v xml:space="preserve">Ρήγας </v>
      </c>
      <c r="H18" s="18" t="str">
        <f t="shared" si="1"/>
        <v>Ευσταθιάδης</v>
      </c>
      <c r="I18" s="1" t="s">
        <v>76</v>
      </c>
      <c r="J18" s="19" t="s">
        <v>287</v>
      </c>
      <c r="K18" s="5" t="s">
        <v>288</v>
      </c>
    </row>
    <row r="19" spans="1:13" ht="15" hidden="1" customHeight="1" x14ac:dyDescent="0.2">
      <c r="A19" s="1">
        <v>65</v>
      </c>
      <c r="B19" s="6" t="s">
        <v>128</v>
      </c>
      <c r="C19" s="6" t="s">
        <v>122</v>
      </c>
      <c r="D19" s="6" t="s">
        <v>126</v>
      </c>
      <c r="E19" s="15" t="s">
        <v>187</v>
      </c>
      <c r="F19" s="8">
        <v>1</v>
      </c>
      <c r="G19" s="18" t="str">
        <f t="shared" si="0"/>
        <v xml:space="preserve">Ρήγας </v>
      </c>
      <c r="H19" s="18" t="str">
        <f t="shared" si="1"/>
        <v>Ευσταθιάδης</v>
      </c>
      <c r="I19" s="1" t="s">
        <v>76</v>
      </c>
      <c r="J19" s="19" t="s">
        <v>287</v>
      </c>
      <c r="K19" s="5" t="s">
        <v>289</v>
      </c>
      <c r="L19" s="1" t="s">
        <v>4</v>
      </c>
      <c r="M19" s="1" t="s">
        <v>66</v>
      </c>
    </row>
    <row r="20" spans="1:13" ht="15" hidden="1" customHeight="1" x14ac:dyDescent="0.2">
      <c r="A20" s="1">
        <v>70</v>
      </c>
      <c r="B20" s="6" t="s">
        <v>128</v>
      </c>
      <c r="C20" s="6" t="s">
        <v>122</v>
      </c>
      <c r="D20" s="6" t="s">
        <v>126</v>
      </c>
      <c r="E20" s="15" t="s">
        <v>188</v>
      </c>
      <c r="F20" s="8">
        <v>1</v>
      </c>
      <c r="G20" s="18" t="str">
        <f t="shared" si="0"/>
        <v xml:space="preserve">Νικόλαος </v>
      </c>
      <c r="H20" s="18" t="str">
        <f t="shared" si="1"/>
        <v>Δέδες</v>
      </c>
      <c r="I20" s="1" t="s">
        <v>82</v>
      </c>
      <c r="J20" s="19" t="s">
        <v>290</v>
      </c>
      <c r="K20" s="5" t="s">
        <v>291</v>
      </c>
    </row>
    <row r="21" spans="1:13" ht="15" hidden="1" customHeight="1" x14ac:dyDescent="0.2">
      <c r="A21" s="1">
        <v>75</v>
      </c>
      <c r="B21" s="6" t="s">
        <v>128</v>
      </c>
      <c r="C21" s="6" t="s">
        <v>122</v>
      </c>
      <c r="D21" s="6" t="s">
        <v>126</v>
      </c>
      <c r="E21" s="15" t="s">
        <v>189</v>
      </c>
      <c r="F21" s="8">
        <v>1</v>
      </c>
      <c r="G21" s="18" t="str">
        <f t="shared" si="0"/>
        <v xml:space="preserve">Νικόλαος </v>
      </c>
      <c r="H21" s="18" t="str">
        <f t="shared" si="1"/>
        <v>Δέδες</v>
      </c>
      <c r="I21" s="1" t="s">
        <v>82</v>
      </c>
      <c r="J21" s="19" t="s">
        <v>290</v>
      </c>
      <c r="K21" s="5" t="s">
        <v>292</v>
      </c>
      <c r="L21" s="1" t="s">
        <v>4</v>
      </c>
      <c r="M21" s="1" t="s">
        <v>66</v>
      </c>
    </row>
    <row r="22" spans="1:13" ht="15" hidden="1" customHeight="1" x14ac:dyDescent="0.2">
      <c r="A22" s="1">
        <v>35</v>
      </c>
      <c r="B22" s="6" t="s">
        <v>30</v>
      </c>
      <c r="C22" s="6" t="s">
        <v>122</v>
      </c>
      <c r="D22" s="6" t="s">
        <v>126</v>
      </c>
      <c r="E22" s="15" t="s">
        <v>190</v>
      </c>
      <c r="F22" s="8">
        <v>1</v>
      </c>
      <c r="G22" s="18" t="str">
        <f t="shared" si="0"/>
        <v xml:space="preserve">Λούης </v>
      </c>
      <c r="H22" s="18" t="str">
        <f t="shared" si="1"/>
        <v>Τσάτουμας</v>
      </c>
      <c r="I22" s="1" t="s">
        <v>41</v>
      </c>
      <c r="J22" s="19" t="s">
        <v>293</v>
      </c>
      <c r="K22" s="19" t="s">
        <v>294</v>
      </c>
      <c r="L22" s="1" t="s">
        <v>44</v>
      </c>
      <c r="M22" s="1" t="s">
        <v>21</v>
      </c>
    </row>
    <row r="23" spans="1:13" ht="15" hidden="1" customHeight="1" x14ac:dyDescent="0.2">
      <c r="A23" s="1">
        <v>40</v>
      </c>
      <c r="B23" s="6" t="s">
        <v>30</v>
      </c>
      <c r="C23" s="6" t="s">
        <v>122</v>
      </c>
      <c r="D23" s="6" t="s">
        <v>126</v>
      </c>
      <c r="E23" s="15" t="s">
        <v>190</v>
      </c>
      <c r="F23" s="8">
        <v>1</v>
      </c>
      <c r="G23" s="18" t="str">
        <f t="shared" si="0"/>
        <v xml:space="preserve">Δημήτριος </v>
      </c>
      <c r="H23" s="18" t="str">
        <f t="shared" si="1"/>
        <v>Τσιάμης</v>
      </c>
      <c r="I23" s="1" t="s">
        <v>43</v>
      </c>
      <c r="J23" s="19" t="s">
        <v>295</v>
      </c>
      <c r="K23" s="19" t="s">
        <v>296</v>
      </c>
      <c r="L23" s="1" t="s">
        <v>44</v>
      </c>
      <c r="M23" s="1" t="s">
        <v>21</v>
      </c>
    </row>
    <row r="24" spans="1:13" ht="15" hidden="1" customHeight="1" x14ac:dyDescent="0.2">
      <c r="A24" s="1">
        <v>45</v>
      </c>
      <c r="B24" s="6" t="s">
        <v>30</v>
      </c>
      <c r="C24" s="6" t="s">
        <v>122</v>
      </c>
      <c r="D24" s="6" t="s">
        <v>126</v>
      </c>
      <c r="E24" s="15" t="s">
        <v>191</v>
      </c>
      <c r="F24" s="8">
        <v>1</v>
      </c>
      <c r="G24" s="18" t="str">
        <f t="shared" si="0"/>
        <v xml:space="preserve">Μιχαήλ </v>
      </c>
      <c r="H24" s="18" t="str">
        <f t="shared" si="1"/>
        <v xml:space="preserve">Μαλατίδης </v>
      </c>
      <c r="I24" s="1" t="s">
        <v>378</v>
      </c>
      <c r="J24" s="19" t="s">
        <v>297</v>
      </c>
      <c r="K24" s="5" t="s">
        <v>298</v>
      </c>
      <c r="L24" s="1" t="s">
        <v>44</v>
      </c>
      <c r="M24" s="1" t="s">
        <v>70</v>
      </c>
    </row>
    <row r="25" spans="1:13" ht="15" hidden="1" customHeight="1" x14ac:dyDescent="0.2">
      <c r="A25" s="1">
        <v>50</v>
      </c>
      <c r="B25" s="6" t="s">
        <v>30</v>
      </c>
      <c r="C25" s="6" t="s">
        <v>122</v>
      </c>
      <c r="D25" s="6" t="s">
        <v>126</v>
      </c>
      <c r="E25" s="15" t="s">
        <v>192</v>
      </c>
      <c r="F25" s="8">
        <v>1</v>
      </c>
      <c r="G25" s="18" t="str">
        <f t="shared" si="0"/>
        <v xml:space="preserve">Νικόλαος </v>
      </c>
      <c r="H25" s="18" t="str">
        <f t="shared" si="1"/>
        <v>Λάμαρης</v>
      </c>
      <c r="I25" s="1" t="s">
        <v>91</v>
      </c>
      <c r="J25" s="19" t="s">
        <v>299</v>
      </c>
      <c r="K25" s="19" t="s">
        <v>300</v>
      </c>
      <c r="L25" s="1" t="s">
        <v>92</v>
      </c>
      <c r="M25" s="1" t="s">
        <v>93</v>
      </c>
    </row>
    <row r="26" spans="1:13" ht="15" hidden="1" customHeight="1" x14ac:dyDescent="0.2">
      <c r="A26" s="1">
        <v>55</v>
      </c>
      <c r="B26" s="6" t="s">
        <v>30</v>
      </c>
      <c r="C26" s="6" t="s">
        <v>122</v>
      </c>
      <c r="D26" s="6" t="s">
        <v>126</v>
      </c>
      <c r="E26" s="15" t="s">
        <v>193</v>
      </c>
      <c r="F26" s="8">
        <v>1</v>
      </c>
      <c r="G26" s="18" t="str">
        <f t="shared" si="0"/>
        <v xml:space="preserve">Νικόλαος </v>
      </c>
      <c r="H26" s="18" t="str">
        <f t="shared" si="1"/>
        <v>Λάμαρης</v>
      </c>
      <c r="I26" s="1" t="s">
        <v>91</v>
      </c>
      <c r="J26" s="19" t="s">
        <v>299</v>
      </c>
      <c r="K26" s="19" t="s">
        <v>301</v>
      </c>
      <c r="L26" s="1" t="s">
        <v>119</v>
      </c>
      <c r="M26" s="1" t="s">
        <v>120</v>
      </c>
    </row>
    <row r="27" spans="1:13" ht="15" hidden="1" customHeight="1" x14ac:dyDescent="0.2">
      <c r="A27" s="1">
        <v>60</v>
      </c>
      <c r="B27" s="6" t="s">
        <v>30</v>
      </c>
      <c r="C27" s="6" t="s">
        <v>122</v>
      </c>
      <c r="D27" s="6" t="s">
        <v>126</v>
      </c>
      <c r="E27" s="15" t="s">
        <v>194</v>
      </c>
      <c r="F27" s="8">
        <v>1</v>
      </c>
      <c r="G27" s="18" t="str">
        <f t="shared" ref="G27:G66" si="2">LEFT(I27,FIND(" ",I27))</f>
        <v xml:space="preserve">Ιωάννης </v>
      </c>
      <c r="H27" s="18" t="str">
        <f t="shared" ref="H27:H66" si="3">MID(I27,FIND(" ",I27)+1,LEN(I27)-LEN(G27))</f>
        <v>Μπέλλος</v>
      </c>
      <c r="I27" s="1" t="s">
        <v>31</v>
      </c>
      <c r="J27" s="19" t="s">
        <v>276</v>
      </c>
      <c r="K27" s="5" t="s">
        <v>281</v>
      </c>
      <c r="L27" s="1" t="s">
        <v>24</v>
      </c>
      <c r="M27" s="1" t="s">
        <v>23</v>
      </c>
    </row>
    <row r="28" spans="1:13" ht="15" hidden="1" customHeight="1" x14ac:dyDescent="0.2">
      <c r="A28" s="1">
        <v>65</v>
      </c>
      <c r="B28" s="6" t="s">
        <v>30</v>
      </c>
      <c r="C28" s="6" t="s">
        <v>122</v>
      </c>
      <c r="D28" s="6" t="s">
        <v>126</v>
      </c>
      <c r="E28" s="15" t="s">
        <v>195</v>
      </c>
      <c r="F28" s="8">
        <v>1</v>
      </c>
      <c r="G28" s="18" t="str">
        <f t="shared" si="2"/>
        <v xml:space="preserve">Ιωάννης </v>
      </c>
      <c r="H28" s="18" t="str">
        <f t="shared" si="3"/>
        <v>Μπέλλος</v>
      </c>
      <c r="I28" s="1" t="s">
        <v>31</v>
      </c>
      <c r="J28" s="19" t="s">
        <v>276</v>
      </c>
      <c r="K28" s="5" t="s">
        <v>282</v>
      </c>
      <c r="L28" s="1" t="s">
        <v>32</v>
      </c>
      <c r="M28" s="1" t="s">
        <v>23</v>
      </c>
    </row>
    <row r="29" spans="1:13" ht="15" hidden="1" customHeight="1" x14ac:dyDescent="0.2">
      <c r="A29" s="1">
        <v>70</v>
      </c>
      <c r="B29" s="6" t="s">
        <v>30</v>
      </c>
      <c r="C29" s="6" t="s">
        <v>122</v>
      </c>
      <c r="D29" s="6" t="s">
        <v>126</v>
      </c>
      <c r="E29" s="15" t="s">
        <v>196</v>
      </c>
      <c r="F29" s="8">
        <v>1</v>
      </c>
      <c r="G29" s="18" t="str">
        <f t="shared" si="2"/>
        <v xml:space="preserve">Παντελής </v>
      </c>
      <c r="H29" s="18" t="str">
        <f t="shared" si="3"/>
        <v>Χρυσοχός</v>
      </c>
      <c r="I29" s="1" t="s">
        <v>95</v>
      </c>
      <c r="J29" s="19" t="s">
        <v>302</v>
      </c>
      <c r="K29" s="19" t="s">
        <v>303</v>
      </c>
      <c r="L29" s="1" t="s">
        <v>10</v>
      </c>
      <c r="M29" s="1" t="s">
        <v>23</v>
      </c>
    </row>
    <row r="30" spans="1:13" ht="15" hidden="1" customHeight="1" x14ac:dyDescent="0.2">
      <c r="A30" s="1">
        <v>75</v>
      </c>
      <c r="B30" s="6" t="s">
        <v>30</v>
      </c>
      <c r="C30" s="6" t="s">
        <v>122</v>
      </c>
      <c r="D30" s="6" t="s">
        <v>126</v>
      </c>
      <c r="E30" s="15" t="s">
        <v>197</v>
      </c>
      <c r="F30" s="8">
        <v>2</v>
      </c>
      <c r="G30" s="18" t="str">
        <f t="shared" si="2"/>
        <v xml:space="preserve">Ιωάννης </v>
      </c>
      <c r="H30" s="18" t="str">
        <f t="shared" si="3"/>
        <v>Μπέλλος</v>
      </c>
      <c r="I30" s="1" t="s">
        <v>31</v>
      </c>
      <c r="J30" s="19" t="s">
        <v>276</v>
      </c>
      <c r="K30" s="5" t="s">
        <v>291</v>
      </c>
      <c r="L30" s="1" t="s">
        <v>37</v>
      </c>
      <c r="M30" s="1" t="s">
        <v>9</v>
      </c>
    </row>
    <row r="31" spans="1:13" ht="15" hidden="1" customHeight="1" x14ac:dyDescent="0.2">
      <c r="A31" s="1">
        <v>75</v>
      </c>
      <c r="B31" s="6" t="s">
        <v>30</v>
      </c>
      <c r="C31" s="6" t="s">
        <v>122</v>
      </c>
      <c r="D31" s="6" t="s">
        <v>126</v>
      </c>
      <c r="E31" s="15" t="s">
        <v>197</v>
      </c>
      <c r="F31" s="8">
        <v>2</v>
      </c>
      <c r="G31" s="18" t="str">
        <f t="shared" si="2"/>
        <v xml:space="preserve">Δημήτριος </v>
      </c>
      <c r="H31" s="18" t="str">
        <f t="shared" si="3"/>
        <v>Ομηρίδης</v>
      </c>
      <c r="I31" s="1" t="s">
        <v>17</v>
      </c>
      <c r="J31" s="19" t="s">
        <v>304</v>
      </c>
      <c r="K31" s="20" t="s">
        <v>274</v>
      </c>
      <c r="L31" s="14" t="s">
        <v>56</v>
      </c>
      <c r="M31" s="14" t="s">
        <v>66</v>
      </c>
    </row>
    <row r="32" spans="1:13" ht="15" hidden="1" customHeight="1" x14ac:dyDescent="0.2">
      <c r="A32" s="1">
        <v>80</v>
      </c>
      <c r="B32" s="6" t="s">
        <v>30</v>
      </c>
      <c r="C32" s="6" t="s">
        <v>122</v>
      </c>
      <c r="D32" s="6" t="s">
        <v>126</v>
      </c>
      <c r="E32" s="15" t="s">
        <v>198</v>
      </c>
      <c r="F32" s="8">
        <v>1</v>
      </c>
      <c r="G32" s="18" t="str">
        <f t="shared" si="2"/>
        <v xml:space="preserve">Άγγελος </v>
      </c>
      <c r="H32" s="18" t="str">
        <f t="shared" si="3"/>
        <v>Αναστασιάδης</v>
      </c>
      <c r="I32" s="1" t="s">
        <v>77</v>
      </c>
      <c r="J32" s="5" t="s">
        <v>305</v>
      </c>
      <c r="K32" s="5" t="s">
        <v>306</v>
      </c>
      <c r="L32" s="1" t="s">
        <v>44</v>
      </c>
      <c r="M32" s="1" t="s">
        <v>70</v>
      </c>
    </row>
    <row r="33" spans="1:14" ht="15" hidden="1" customHeight="1" x14ac:dyDescent="0.2">
      <c r="A33" s="1">
        <v>85</v>
      </c>
      <c r="B33" s="6" t="s">
        <v>30</v>
      </c>
      <c r="C33" s="6" t="s">
        <v>122</v>
      </c>
      <c r="D33" s="6" t="s">
        <v>126</v>
      </c>
      <c r="E33" s="15" t="s">
        <v>199</v>
      </c>
      <c r="F33" s="8">
        <v>1</v>
      </c>
      <c r="G33" s="18" t="str">
        <f t="shared" si="2"/>
        <v xml:space="preserve">Ιωάννης </v>
      </c>
      <c r="H33" s="18" t="str">
        <f t="shared" si="3"/>
        <v>Μπέλλος</v>
      </c>
      <c r="I33" s="1" t="s">
        <v>31</v>
      </c>
      <c r="J33" s="19" t="s">
        <v>276</v>
      </c>
      <c r="K33" s="19" t="s">
        <v>279</v>
      </c>
      <c r="L33" s="1" t="s">
        <v>56</v>
      </c>
      <c r="M33" s="14" t="s">
        <v>66</v>
      </c>
    </row>
    <row r="34" spans="1:14" ht="15" hidden="1" customHeight="1" x14ac:dyDescent="0.2">
      <c r="A34" s="1">
        <v>90</v>
      </c>
      <c r="B34" s="6" t="s">
        <v>30</v>
      </c>
      <c r="C34" s="6" t="s">
        <v>122</v>
      </c>
      <c r="D34" s="6" t="s">
        <v>126</v>
      </c>
      <c r="E34" s="15" t="s">
        <v>200</v>
      </c>
      <c r="F34" s="8">
        <v>3</v>
      </c>
      <c r="G34" s="18" t="str">
        <f t="shared" si="2"/>
        <v xml:space="preserve">Κωνσταντίνος </v>
      </c>
      <c r="H34" s="18" t="str">
        <f t="shared" si="3"/>
        <v>Χατζηεμμανουήλ</v>
      </c>
      <c r="I34" s="1" t="s">
        <v>20</v>
      </c>
      <c r="J34" s="21" t="s">
        <v>307</v>
      </c>
      <c r="K34" s="21" t="s">
        <v>308</v>
      </c>
      <c r="L34" s="1" t="s">
        <v>18</v>
      </c>
      <c r="M34" s="1" t="s">
        <v>19</v>
      </c>
    </row>
    <row r="35" spans="1:14" ht="15" hidden="1" customHeight="1" x14ac:dyDescent="0.2">
      <c r="A35" s="1">
        <v>90</v>
      </c>
      <c r="B35" s="6" t="s">
        <v>30</v>
      </c>
      <c r="C35" s="6" t="s">
        <v>122</v>
      </c>
      <c r="D35" s="6" t="s">
        <v>126</v>
      </c>
      <c r="E35" s="15" t="s">
        <v>200</v>
      </c>
      <c r="F35" s="8">
        <v>3</v>
      </c>
      <c r="G35" s="18" t="str">
        <f t="shared" si="2"/>
        <v xml:space="preserve">Κωνσταντίνος </v>
      </c>
      <c r="H35" s="18" t="str">
        <f t="shared" si="3"/>
        <v>Χατζηεμμανουήλ</v>
      </c>
      <c r="I35" s="1" t="s">
        <v>20</v>
      </c>
      <c r="J35" s="21" t="s">
        <v>307</v>
      </c>
      <c r="K35" s="19" t="s">
        <v>309</v>
      </c>
      <c r="L35" s="1" t="s">
        <v>97</v>
      </c>
      <c r="M35" s="1" t="s">
        <v>19</v>
      </c>
    </row>
    <row r="36" spans="1:14" ht="15" hidden="1" customHeight="1" x14ac:dyDescent="0.2">
      <c r="A36" s="1">
        <v>90</v>
      </c>
      <c r="B36" s="6" t="s">
        <v>30</v>
      </c>
      <c r="C36" s="6" t="s">
        <v>122</v>
      </c>
      <c r="D36" s="6" t="s">
        <v>126</v>
      </c>
      <c r="E36" s="15" t="s">
        <v>200</v>
      </c>
      <c r="F36" s="8">
        <v>3</v>
      </c>
      <c r="G36" s="18" t="str">
        <f t="shared" si="2"/>
        <v xml:space="preserve">Παναγιώτης </v>
      </c>
      <c r="H36" s="18" t="str">
        <f t="shared" si="3"/>
        <v>Δούσης</v>
      </c>
      <c r="I36" s="1" t="s">
        <v>26</v>
      </c>
      <c r="J36" s="19" t="s">
        <v>310</v>
      </c>
      <c r="K36" s="19" t="s">
        <v>311</v>
      </c>
      <c r="L36" s="1" t="s">
        <v>10</v>
      </c>
      <c r="M36" s="1" t="s">
        <v>23</v>
      </c>
    </row>
    <row r="37" spans="1:14" ht="15" hidden="1" customHeight="1" x14ac:dyDescent="0.2">
      <c r="A37" s="1">
        <v>95</v>
      </c>
      <c r="B37" s="6" t="s">
        <v>30</v>
      </c>
      <c r="C37" s="6" t="s">
        <v>122</v>
      </c>
      <c r="D37" s="6" t="s">
        <v>126</v>
      </c>
      <c r="E37" s="15" t="s">
        <v>201</v>
      </c>
      <c r="F37" s="8">
        <v>1</v>
      </c>
      <c r="G37" s="18" t="str">
        <f t="shared" si="2"/>
        <v xml:space="preserve">Κωνσταντίνος </v>
      </c>
      <c r="H37" s="18" t="str">
        <f t="shared" si="3"/>
        <v>Χατζηεμμανουήλ</v>
      </c>
      <c r="I37" s="1" t="s">
        <v>20</v>
      </c>
      <c r="J37" s="21" t="s">
        <v>307</v>
      </c>
      <c r="K37" s="19" t="s">
        <v>311</v>
      </c>
      <c r="L37" s="1" t="s">
        <v>10</v>
      </c>
      <c r="M37" s="1" t="s">
        <v>23</v>
      </c>
    </row>
    <row r="38" spans="1:14" ht="15" hidden="1" customHeight="1" x14ac:dyDescent="0.2">
      <c r="A38" s="1">
        <v>35</v>
      </c>
      <c r="B38" s="6" t="s">
        <v>46</v>
      </c>
      <c r="C38" s="6" t="s">
        <v>122</v>
      </c>
      <c r="D38" s="6" t="s">
        <v>126</v>
      </c>
      <c r="E38" s="15" t="s">
        <v>202</v>
      </c>
      <c r="F38" s="8">
        <v>1</v>
      </c>
      <c r="G38" s="18" t="str">
        <f t="shared" si="2"/>
        <v xml:space="preserve">Δημήτριος </v>
      </c>
      <c r="H38" s="18" t="str">
        <f t="shared" si="3"/>
        <v>Τσιάμης</v>
      </c>
      <c r="I38" s="1" t="s">
        <v>43</v>
      </c>
      <c r="J38" s="19" t="s">
        <v>295</v>
      </c>
      <c r="K38" s="19" t="s">
        <v>312</v>
      </c>
      <c r="L38" s="1" t="s">
        <v>44</v>
      </c>
      <c r="M38" s="1" t="s">
        <v>21</v>
      </c>
    </row>
    <row r="39" spans="1:14" ht="15" hidden="1" customHeight="1" x14ac:dyDescent="0.2">
      <c r="A39" s="1">
        <v>40</v>
      </c>
      <c r="B39" s="6" t="s">
        <v>46</v>
      </c>
      <c r="C39" s="6" t="s">
        <v>122</v>
      </c>
      <c r="D39" s="6" t="s">
        <v>126</v>
      </c>
      <c r="E39" s="15" t="s">
        <v>203</v>
      </c>
      <c r="F39" s="8">
        <v>1</v>
      </c>
      <c r="G39" s="18" t="str">
        <f t="shared" si="2"/>
        <v xml:space="preserve">Δημήτριος </v>
      </c>
      <c r="H39" s="18" t="str">
        <f t="shared" si="3"/>
        <v>Τσιάμης</v>
      </c>
      <c r="I39" s="1" t="s">
        <v>43</v>
      </c>
      <c r="J39" s="19" t="s">
        <v>295</v>
      </c>
      <c r="K39" s="19" t="s">
        <v>313</v>
      </c>
      <c r="L39" s="1" t="s">
        <v>44</v>
      </c>
      <c r="M39" s="1" t="s">
        <v>21</v>
      </c>
    </row>
    <row r="40" spans="1:14" ht="15" hidden="1" customHeight="1" x14ac:dyDescent="0.2">
      <c r="A40" s="1">
        <v>45</v>
      </c>
      <c r="B40" s="6" t="s">
        <v>46</v>
      </c>
      <c r="C40" s="6" t="s">
        <v>122</v>
      </c>
      <c r="D40" s="6" t="s">
        <v>126</v>
      </c>
      <c r="E40" s="15" t="s">
        <v>204</v>
      </c>
      <c r="F40" s="8">
        <v>1</v>
      </c>
      <c r="G40" s="18" t="str">
        <f t="shared" si="2"/>
        <v xml:space="preserve">Οδυσσέας </v>
      </c>
      <c r="H40" s="18" t="str">
        <f t="shared" si="3"/>
        <v>Σκαματζούρας</v>
      </c>
      <c r="I40" s="1" t="s">
        <v>45</v>
      </c>
      <c r="J40" s="19" t="s">
        <v>314</v>
      </c>
      <c r="K40" s="19" t="s">
        <v>315</v>
      </c>
      <c r="L40" s="1" t="s">
        <v>32</v>
      </c>
      <c r="M40" s="1" t="s">
        <v>23</v>
      </c>
    </row>
    <row r="41" spans="1:14" ht="15" hidden="1" customHeight="1" x14ac:dyDescent="0.2">
      <c r="A41" s="1">
        <v>50</v>
      </c>
      <c r="B41" s="6" t="s">
        <v>46</v>
      </c>
      <c r="C41" s="6" t="s">
        <v>122</v>
      </c>
      <c r="D41" s="6" t="s">
        <v>126</v>
      </c>
      <c r="E41" s="15" t="s">
        <v>205</v>
      </c>
      <c r="F41" s="8">
        <v>1</v>
      </c>
      <c r="G41" s="18" t="str">
        <f t="shared" si="2"/>
        <v xml:space="preserve">Νικόλαος </v>
      </c>
      <c r="H41" s="18" t="str">
        <f t="shared" si="3"/>
        <v>Αρβανίτης</v>
      </c>
      <c r="I41" s="1" t="s">
        <v>42</v>
      </c>
      <c r="J41" s="19" t="s">
        <v>316</v>
      </c>
      <c r="K41" s="19" t="s">
        <v>317</v>
      </c>
      <c r="L41" s="1" t="s">
        <v>22</v>
      </c>
      <c r="M41" s="1" t="s">
        <v>23</v>
      </c>
    </row>
    <row r="42" spans="1:14" ht="15" hidden="1" customHeight="1" x14ac:dyDescent="0.2">
      <c r="A42" s="1">
        <v>55</v>
      </c>
      <c r="B42" s="6" t="s">
        <v>46</v>
      </c>
      <c r="C42" s="6" t="s">
        <v>122</v>
      </c>
      <c r="D42" s="6" t="s">
        <v>126</v>
      </c>
      <c r="E42" s="15" t="s">
        <v>206</v>
      </c>
      <c r="F42" s="8">
        <v>1</v>
      </c>
      <c r="G42" s="18" t="str">
        <f t="shared" si="2"/>
        <v xml:space="preserve">Βλαδίμηρος </v>
      </c>
      <c r="H42" s="18" t="str">
        <f t="shared" si="3"/>
        <v>Ντεκάιλο</v>
      </c>
      <c r="I42" s="1" t="s">
        <v>12</v>
      </c>
      <c r="J42" s="19" t="s">
        <v>318</v>
      </c>
      <c r="K42" s="19" t="s">
        <v>319</v>
      </c>
      <c r="L42" s="1" t="s">
        <v>37</v>
      </c>
      <c r="M42" s="1" t="s">
        <v>9</v>
      </c>
    </row>
    <row r="43" spans="1:14" ht="15" hidden="1" customHeight="1" x14ac:dyDescent="0.2">
      <c r="A43" s="1">
        <v>60</v>
      </c>
      <c r="B43" s="6" t="s">
        <v>46</v>
      </c>
      <c r="C43" s="6" t="s">
        <v>122</v>
      </c>
      <c r="D43" s="6" t="s">
        <v>126</v>
      </c>
      <c r="E43" s="15" t="s">
        <v>207</v>
      </c>
      <c r="F43" s="8">
        <v>1</v>
      </c>
      <c r="G43" s="18" t="str">
        <f t="shared" si="2"/>
        <v xml:space="preserve">Βλαδίμηρος </v>
      </c>
      <c r="H43" s="18" t="str">
        <f t="shared" si="3"/>
        <v>Ντεκάιλο</v>
      </c>
      <c r="I43" s="1" t="s">
        <v>12</v>
      </c>
      <c r="J43" s="19" t="s">
        <v>318</v>
      </c>
      <c r="K43" s="19" t="s">
        <v>317</v>
      </c>
      <c r="L43" s="1" t="s">
        <v>22</v>
      </c>
      <c r="M43" s="1" t="s">
        <v>23</v>
      </c>
    </row>
    <row r="44" spans="1:14" ht="15" hidden="1" customHeight="1" x14ac:dyDescent="0.2">
      <c r="A44" s="1">
        <v>65</v>
      </c>
      <c r="B44" s="6" t="s">
        <v>46</v>
      </c>
      <c r="C44" s="6" t="s">
        <v>122</v>
      </c>
      <c r="D44" s="6" t="s">
        <v>126</v>
      </c>
      <c r="E44" s="15" t="s">
        <v>208</v>
      </c>
      <c r="F44" s="8">
        <v>1</v>
      </c>
      <c r="G44" s="18" t="str">
        <f t="shared" si="2"/>
        <v xml:space="preserve">Βλαδίμηρος </v>
      </c>
      <c r="H44" s="18" t="str">
        <f t="shared" si="3"/>
        <v>Ντεκάιλο</v>
      </c>
      <c r="I44" s="1" t="s">
        <v>12</v>
      </c>
      <c r="J44" s="19" t="s">
        <v>318</v>
      </c>
      <c r="K44" s="21" t="s">
        <v>320</v>
      </c>
      <c r="L44" s="1" t="s">
        <v>56</v>
      </c>
      <c r="M44" s="1" t="s">
        <v>83</v>
      </c>
    </row>
    <row r="45" spans="1:14" ht="15" hidden="1" customHeight="1" x14ac:dyDescent="0.2">
      <c r="A45" s="1">
        <v>70</v>
      </c>
      <c r="B45" s="6" t="s">
        <v>46</v>
      </c>
      <c r="C45" s="6" t="s">
        <v>122</v>
      </c>
      <c r="D45" s="6" t="s">
        <v>126</v>
      </c>
      <c r="E45" s="15" t="s">
        <v>209</v>
      </c>
      <c r="F45" s="8">
        <v>1</v>
      </c>
      <c r="G45" s="18" t="str">
        <f t="shared" si="2"/>
        <v xml:space="preserve">Παντελής </v>
      </c>
      <c r="H45" s="18" t="str">
        <f t="shared" si="3"/>
        <v>Χρυσοχός</v>
      </c>
      <c r="I45" s="1" t="s">
        <v>95</v>
      </c>
      <c r="J45" s="19" t="s">
        <v>302</v>
      </c>
      <c r="K45" s="21" t="s">
        <v>311</v>
      </c>
      <c r="L45" s="1" t="s">
        <v>10</v>
      </c>
      <c r="M45" s="1" t="s">
        <v>23</v>
      </c>
    </row>
    <row r="46" spans="1:14" ht="15" hidden="1" customHeight="1" x14ac:dyDescent="0.2">
      <c r="A46" s="1">
        <v>75</v>
      </c>
      <c r="B46" s="6" t="s">
        <v>46</v>
      </c>
      <c r="C46" s="6" t="s">
        <v>122</v>
      </c>
      <c r="D46" s="6" t="s">
        <v>126</v>
      </c>
      <c r="E46" s="15" t="s">
        <v>210</v>
      </c>
      <c r="F46" s="8">
        <v>1</v>
      </c>
      <c r="G46" s="18" t="str">
        <f t="shared" si="2"/>
        <v xml:space="preserve">Δημήτριος </v>
      </c>
      <c r="H46" s="18" t="str">
        <f t="shared" si="3"/>
        <v>Ομηρίδης</v>
      </c>
      <c r="I46" s="1" t="s">
        <v>17</v>
      </c>
      <c r="J46" s="19" t="s">
        <v>304</v>
      </c>
      <c r="K46" s="19" t="s">
        <v>321</v>
      </c>
      <c r="L46" s="1" t="s">
        <v>18</v>
      </c>
      <c r="M46" s="1" t="s">
        <v>19</v>
      </c>
    </row>
    <row r="47" spans="1:14" ht="15" hidden="1" customHeight="1" x14ac:dyDescent="0.2">
      <c r="A47" s="1">
        <v>85</v>
      </c>
      <c r="B47" s="6" t="s">
        <v>46</v>
      </c>
      <c r="C47" s="6" t="s">
        <v>122</v>
      </c>
      <c r="D47" s="6" t="s">
        <v>126</v>
      </c>
      <c r="E47" s="15" t="s">
        <v>211</v>
      </c>
      <c r="F47" s="8">
        <v>1</v>
      </c>
      <c r="G47" s="18" t="str">
        <f t="shared" si="2"/>
        <v xml:space="preserve">Ιωάννης </v>
      </c>
      <c r="H47" s="18" t="str">
        <f t="shared" si="3"/>
        <v>Μπέλλος</v>
      </c>
      <c r="I47" s="1" t="s">
        <v>31</v>
      </c>
      <c r="J47" s="19" t="s">
        <v>276</v>
      </c>
      <c r="K47" s="19" t="s">
        <v>279</v>
      </c>
      <c r="L47" s="1" t="s">
        <v>56</v>
      </c>
      <c r="M47" s="14" t="s">
        <v>66</v>
      </c>
    </row>
    <row r="48" spans="1:14" ht="15" hidden="1" customHeight="1" x14ac:dyDescent="0.2">
      <c r="A48" s="1">
        <v>35</v>
      </c>
      <c r="B48" s="6" t="s">
        <v>129</v>
      </c>
      <c r="C48" s="6" t="s">
        <v>122</v>
      </c>
      <c r="D48" s="6" t="s">
        <v>126</v>
      </c>
      <c r="E48" s="15" t="s">
        <v>212</v>
      </c>
      <c r="F48" s="8">
        <v>1</v>
      </c>
      <c r="G48" s="18" t="str">
        <f t="shared" si="2"/>
        <v xml:space="preserve">Παναγιώτης </v>
      </c>
      <c r="H48" s="18" t="str">
        <f t="shared" si="3"/>
        <v>Μπαχαρίδης</v>
      </c>
      <c r="I48" s="1" t="s">
        <v>47</v>
      </c>
      <c r="J48" s="19" t="s">
        <v>322</v>
      </c>
      <c r="K48" s="19" t="s">
        <v>323</v>
      </c>
      <c r="L48" s="1" t="s">
        <v>44</v>
      </c>
      <c r="M48" s="1" t="s">
        <v>69</v>
      </c>
      <c r="N48" s="1" t="s">
        <v>138</v>
      </c>
    </row>
    <row r="49" spans="1:14" ht="15" hidden="1" customHeight="1" x14ac:dyDescent="0.2">
      <c r="A49" s="1">
        <v>40</v>
      </c>
      <c r="B49" s="6" t="s">
        <v>129</v>
      </c>
      <c r="C49" s="6" t="s">
        <v>122</v>
      </c>
      <c r="D49" s="6" t="s">
        <v>126</v>
      </c>
      <c r="E49" s="15" t="s">
        <v>213</v>
      </c>
      <c r="F49" s="8">
        <v>1</v>
      </c>
      <c r="G49" s="18" t="str">
        <f t="shared" si="2"/>
        <v xml:space="preserve">Ιμπράιμ </v>
      </c>
      <c r="H49" s="18" t="str">
        <f t="shared" si="3"/>
        <v>Φαναρτζής</v>
      </c>
      <c r="I49" s="1" t="s">
        <v>48</v>
      </c>
      <c r="J49" s="19" t="s">
        <v>324</v>
      </c>
      <c r="K49" s="5" t="s">
        <v>291</v>
      </c>
      <c r="L49" s="1" t="s">
        <v>37</v>
      </c>
      <c r="M49" s="1" t="s">
        <v>9</v>
      </c>
      <c r="N49" s="1" t="s">
        <v>139</v>
      </c>
    </row>
    <row r="50" spans="1:14" ht="15" hidden="1" customHeight="1" x14ac:dyDescent="0.2">
      <c r="A50" s="1">
        <v>45</v>
      </c>
      <c r="B50" s="6" t="s">
        <v>129</v>
      </c>
      <c r="C50" s="6" t="s">
        <v>122</v>
      </c>
      <c r="D50" s="6" t="s">
        <v>126</v>
      </c>
      <c r="E50" s="15" t="s">
        <v>214</v>
      </c>
      <c r="F50" s="8">
        <v>1</v>
      </c>
      <c r="G50" s="18" t="str">
        <f t="shared" si="2"/>
        <v xml:space="preserve">Βασίλειος </v>
      </c>
      <c r="H50" s="18" t="str">
        <f t="shared" si="3"/>
        <v>Μαγγανάς</v>
      </c>
      <c r="I50" s="1" t="s">
        <v>49</v>
      </c>
      <c r="J50" s="19" t="s">
        <v>325</v>
      </c>
      <c r="K50" s="19" t="s">
        <v>326</v>
      </c>
      <c r="L50" s="1" t="s">
        <v>4</v>
      </c>
      <c r="M50" s="1" t="s">
        <v>66</v>
      </c>
      <c r="N50" s="1" t="s">
        <v>140</v>
      </c>
    </row>
    <row r="51" spans="1:14" ht="15" hidden="1" customHeight="1" x14ac:dyDescent="0.2">
      <c r="A51" s="1">
        <v>50</v>
      </c>
      <c r="B51" s="6" t="s">
        <v>129</v>
      </c>
      <c r="C51" s="6" t="s">
        <v>122</v>
      </c>
      <c r="D51" s="6" t="s">
        <v>126</v>
      </c>
      <c r="E51" s="15" t="s">
        <v>215</v>
      </c>
      <c r="F51" s="8">
        <v>1</v>
      </c>
      <c r="G51" s="18" t="str">
        <f t="shared" si="2"/>
        <v xml:space="preserve">Βασίλειος </v>
      </c>
      <c r="H51" s="18" t="str">
        <f t="shared" si="3"/>
        <v>Μαγγανάς</v>
      </c>
      <c r="I51" s="1" t="s">
        <v>49</v>
      </c>
      <c r="J51" s="19" t="s">
        <v>325</v>
      </c>
      <c r="K51" s="5" t="s">
        <v>327</v>
      </c>
      <c r="L51" s="1" t="s">
        <v>78</v>
      </c>
      <c r="M51" s="1" t="s">
        <v>23</v>
      </c>
      <c r="N51" s="1" t="s">
        <v>141</v>
      </c>
    </row>
    <row r="52" spans="1:14" ht="15" hidden="1" customHeight="1" x14ac:dyDescent="0.2">
      <c r="A52" s="1">
        <v>55</v>
      </c>
      <c r="B52" s="6" t="s">
        <v>129</v>
      </c>
      <c r="C52" s="6" t="s">
        <v>122</v>
      </c>
      <c r="D52" s="6" t="s">
        <v>126</v>
      </c>
      <c r="E52" s="15" t="s">
        <v>216</v>
      </c>
      <c r="F52" s="8">
        <v>1</v>
      </c>
      <c r="G52" s="18" t="str">
        <f t="shared" si="2"/>
        <v xml:space="preserve">Βασίλειος </v>
      </c>
      <c r="H52" s="18" t="str">
        <f t="shared" si="3"/>
        <v>Μαγγανάς</v>
      </c>
      <c r="I52" s="1" t="s">
        <v>49</v>
      </c>
      <c r="J52" s="19" t="s">
        <v>325</v>
      </c>
      <c r="K52" s="5" t="s">
        <v>328</v>
      </c>
      <c r="L52" s="1" t="s">
        <v>51</v>
      </c>
      <c r="M52" s="1" t="s">
        <v>23</v>
      </c>
      <c r="N52" s="1" t="s">
        <v>142</v>
      </c>
    </row>
    <row r="53" spans="1:14" ht="15" hidden="1" customHeight="1" x14ac:dyDescent="0.2">
      <c r="A53" s="1">
        <v>60</v>
      </c>
      <c r="B53" s="6" t="s">
        <v>129</v>
      </c>
      <c r="C53" s="6" t="s">
        <v>122</v>
      </c>
      <c r="D53" s="6" t="s">
        <v>126</v>
      </c>
      <c r="E53" s="15" t="s">
        <v>217</v>
      </c>
      <c r="F53" s="8">
        <v>1</v>
      </c>
      <c r="G53" s="18" t="str">
        <f t="shared" si="2"/>
        <v xml:space="preserve">Δημήτριος </v>
      </c>
      <c r="H53" s="18" t="str">
        <f t="shared" si="3"/>
        <v>Πασιώτης</v>
      </c>
      <c r="I53" s="1" t="s">
        <v>50</v>
      </c>
      <c r="J53" s="19" t="s">
        <v>329</v>
      </c>
      <c r="K53" s="19" t="s">
        <v>330</v>
      </c>
      <c r="L53" s="1" t="s">
        <v>44</v>
      </c>
      <c r="M53" s="1" t="s">
        <v>70</v>
      </c>
      <c r="N53" s="1" t="s">
        <v>143</v>
      </c>
    </row>
    <row r="54" spans="1:14" ht="15" hidden="1" customHeight="1" x14ac:dyDescent="0.2">
      <c r="A54" s="1">
        <v>65</v>
      </c>
      <c r="B54" s="6" t="s">
        <v>129</v>
      </c>
      <c r="C54" s="6" t="s">
        <v>122</v>
      </c>
      <c r="D54" s="6" t="s">
        <v>126</v>
      </c>
      <c r="E54" s="15" t="s">
        <v>218</v>
      </c>
      <c r="F54" s="8">
        <v>1</v>
      </c>
      <c r="G54" s="18" t="str">
        <f t="shared" si="2"/>
        <v xml:space="preserve">Διονύσιος </v>
      </c>
      <c r="H54" s="18" t="str">
        <f t="shared" si="3"/>
        <v xml:space="preserve">Αυγουστάτος </v>
      </c>
      <c r="I54" s="1" t="s">
        <v>79</v>
      </c>
      <c r="J54" s="5" t="s">
        <v>331</v>
      </c>
      <c r="K54" s="5" t="s">
        <v>273</v>
      </c>
      <c r="L54" s="1" t="s">
        <v>4</v>
      </c>
      <c r="M54" s="1" t="s">
        <v>66</v>
      </c>
      <c r="N54" s="1" t="s">
        <v>144</v>
      </c>
    </row>
    <row r="55" spans="1:14" ht="15" hidden="1" customHeight="1" x14ac:dyDescent="0.2">
      <c r="A55" s="1">
        <v>70</v>
      </c>
      <c r="B55" s="6" t="s">
        <v>129</v>
      </c>
      <c r="C55" s="6" t="s">
        <v>122</v>
      </c>
      <c r="D55" s="6" t="s">
        <v>126</v>
      </c>
      <c r="E55" s="15" t="s">
        <v>219</v>
      </c>
      <c r="F55" s="8">
        <v>1</v>
      </c>
      <c r="G55" s="18" t="str">
        <f t="shared" si="2"/>
        <v xml:space="preserve">Διονύσιος </v>
      </c>
      <c r="H55" s="18" t="str">
        <f t="shared" si="3"/>
        <v xml:space="preserve">Αυγουστάτος </v>
      </c>
      <c r="I55" s="1" t="s">
        <v>79</v>
      </c>
      <c r="J55" s="5" t="s">
        <v>331</v>
      </c>
      <c r="K55" s="5" t="s">
        <v>332</v>
      </c>
      <c r="M55" s="1" t="s">
        <v>13</v>
      </c>
      <c r="N55" s="1" t="s">
        <v>145</v>
      </c>
    </row>
    <row r="56" spans="1:14" ht="15" hidden="1" customHeight="1" x14ac:dyDescent="0.2">
      <c r="A56" s="1">
        <v>75</v>
      </c>
      <c r="B56" s="6" t="s">
        <v>129</v>
      </c>
      <c r="C56" s="6" t="s">
        <v>122</v>
      </c>
      <c r="D56" s="6" t="s">
        <v>126</v>
      </c>
      <c r="E56" s="15" t="s">
        <v>220</v>
      </c>
      <c r="F56" s="8">
        <v>1</v>
      </c>
      <c r="G56" s="18" t="str">
        <f t="shared" si="2"/>
        <v xml:space="preserve">Σπυρίδων </v>
      </c>
      <c r="H56" s="18" t="str">
        <f t="shared" si="3"/>
        <v>Τουρκομανώλης</v>
      </c>
      <c r="I56" s="1" t="s">
        <v>67</v>
      </c>
      <c r="J56" s="5" t="s">
        <v>333</v>
      </c>
      <c r="K56" s="5" t="s">
        <v>334</v>
      </c>
      <c r="L56" s="1" t="s">
        <v>4</v>
      </c>
      <c r="M56" s="1" t="s">
        <v>66</v>
      </c>
      <c r="N56" s="1" t="s">
        <v>146</v>
      </c>
    </row>
    <row r="57" spans="1:14" ht="15" hidden="1" customHeight="1" x14ac:dyDescent="0.2">
      <c r="A57" s="1">
        <v>80</v>
      </c>
      <c r="B57" s="6" t="s">
        <v>129</v>
      </c>
      <c r="C57" s="6" t="s">
        <v>122</v>
      </c>
      <c r="D57" s="6" t="s">
        <v>126</v>
      </c>
      <c r="E57" s="15" t="s">
        <v>221</v>
      </c>
      <c r="F57" s="8">
        <v>1</v>
      </c>
      <c r="G57" s="18" t="str">
        <f t="shared" si="2"/>
        <v xml:space="preserve">Γρηγ </v>
      </c>
      <c r="H57" s="18" t="str">
        <f t="shared" si="3"/>
        <v xml:space="preserve">Σαββίδης </v>
      </c>
      <c r="I57" s="1" t="s">
        <v>80</v>
      </c>
      <c r="J57" s="5" t="s">
        <v>278</v>
      </c>
      <c r="K57" s="20" t="s">
        <v>274</v>
      </c>
      <c r="L57" s="14" t="s">
        <v>56</v>
      </c>
      <c r="M57" s="14" t="s">
        <v>66</v>
      </c>
      <c r="N57" s="1" t="s">
        <v>147</v>
      </c>
    </row>
    <row r="58" spans="1:14" ht="15" hidden="1" customHeight="1" x14ac:dyDescent="0.2">
      <c r="A58" s="1">
        <v>85</v>
      </c>
      <c r="B58" s="6" t="s">
        <v>129</v>
      </c>
      <c r="C58" s="6" t="s">
        <v>122</v>
      </c>
      <c r="D58" s="6" t="s">
        <v>126</v>
      </c>
      <c r="E58" s="15" t="s">
        <v>222</v>
      </c>
      <c r="F58" s="8">
        <v>1</v>
      </c>
      <c r="G58" s="18" t="str">
        <f t="shared" si="2"/>
        <v xml:space="preserve">Ιωάννης </v>
      </c>
      <c r="H58" s="18" t="str">
        <f t="shared" si="3"/>
        <v>Μπέλλος</v>
      </c>
      <c r="I58" s="1" t="s">
        <v>31</v>
      </c>
      <c r="J58" s="19" t="s">
        <v>276</v>
      </c>
      <c r="K58" s="21" t="s">
        <v>320</v>
      </c>
      <c r="L58" s="1" t="s">
        <v>56</v>
      </c>
      <c r="M58" s="1" t="s">
        <v>83</v>
      </c>
      <c r="N58" s="1" t="s">
        <v>148</v>
      </c>
    </row>
    <row r="59" spans="1:14" ht="15" hidden="1" customHeight="1" x14ac:dyDescent="0.2">
      <c r="A59" s="1">
        <v>90</v>
      </c>
      <c r="B59" s="6" t="s">
        <v>129</v>
      </c>
      <c r="C59" s="6" t="s">
        <v>122</v>
      </c>
      <c r="D59" s="6" t="s">
        <v>126</v>
      </c>
      <c r="E59" s="15" t="s">
        <v>223</v>
      </c>
      <c r="F59" s="8">
        <v>1</v>
      </c>
      <c r="G59" s="18" t="str">
        <f t="shared" si="2"/>
        <v xml:space="preserve">Κωνσταντίνος </v>
      </c>
      <c r="H59" s="18" t="str">
        <f t="shared" si="3"/>
        <v>Χατζηεμμανουήλ</v>
      </c>
      <c r="I59" s="1" t="s">
        <v>20</v>
      </c>
      <c r="J59" s="19" t="s">
        <v>307</v>
      </c>
      <c r="K59" s="19" t="s">
        <v>335</v>
      </c>
      <c r="L59" s="1" t="s">
        <v>10</v>
      </c>
      <c r="M59" s="1" t="s">
        <v>9</v>
      </c>
      <c r="N59" s="1" t="s">
        <v>149</v>
      </c>
    </row>
    <row r="60" spans="1:14" ht="15" hidden="1" customHeight="1" x14ac:dyDescent="0.2">
      <c r="A60" s="1">
        <v>95</v>
      </c>
      <c r="B60" s="6" t="s">
        <v>129</v>
      </c>
      <c r="C60" s="6" t="s">
        <v>122</v>
      </c>
      <c r="D60" s="6" t="s">
        <v>126</v>
      </c>
      <c r="E60" s="15" t="s">
        <v>224</v>
      </c>
      <c r="F60" s="8">
        <v>1</v>
      </c>
      <c r="G60" s="18" t="str">
        <f t="shared" si="2"/>
        <v xml:space="preserve">Κωνσταντίνος </v>
      </c>
      <c r="H60" s="18" t="str">
        <f t="shared" si="3"/>
        <v>Χατζηαργυρίου</v>
      </c>
      <c r="I60" s="1" t="s">
        <v>81</v>
      </c>
      <c r="J60" s="5" t="s">
        <v>278</v>
      </c>
      <c r="K60" s="5" t="s">
        <v>291</v>
      </c>
      <c r="L60" s="1" t="s">
        <v>4</v>
      </c>
      <c r="M60" s="1" t="s">
        <v>66</v>
      </c>
      <c r="N60" s="1" t="s">
        <v>150</v>
      </c>
    </row>
    <row r="61" spans="1:14" ht="15" customHeight="1" x14ac:dyDescent="0.2">
      <c r="A61" s="1">
        <v>40</v>
      </c>
      <c r="B61" s="6" t="s">
        <v>379</v>
      </c>
      <c r="C61" s="6" t="s">
        <v>122</v>
      </c>
      <c r="D61" s="6" t="s">
        <v>126</v>
      </c>
      <c r="E61" s="15" t="s">
        <v>225</v>
      </c>
      <c r="F61" s="8">
        <v>1</v>
      </c>
      <c r="G61" s="18" t="str">
        <f t="shared" si="2"/>
        <v xml:space="preserve">Απόστολος </v>
      </c>
      <c r="H61" s="18" t="str">
        <f t="shared" si="3"/>
        <v>Βότσης</v>
      </c>
      <c r="I61" s="1" t="s">
        <v>85</v>
      </c>
      <c r="J61" s="5" t="s">
        <v>336</v>
      </c>
      <c r="K61" s="5" t="s">
        <v>337</v>
      </c>
      <c r="L61" s="1" t="s">
        <v>68</v>
      </c>
      <c r="M61" s="1" t="s">
        <v>23</v>
      </c>
      <c r="N61" s="1" t="s">
        <v>151</v>
      </c>
    </row>
    <row r="62" spans="1:14" ht="15" customHeight="1" x14ac:dyDescent="0.2">
      <c r="A62" s="1">
        <v>45</v>
      </c>
      <c r="B62" s="6" t="s">
        <v>379</v>
      </c>
      <c r="C62" s="6" t="s">
        <v>122</v>
      </c>
      <c r="D62" s="6" t="s">
        <v>126</v>
      </c>
      <c r="E62" s="15" t="s">
        <v>226</v>
      </c>
      <c r="F62" s="8">
        <v>1</v>
      </c>
      <c r="G62" s="18" t="str">
        <f t="shared" si="2"/>
        <v xml:space="preserve">Αθανάσιος </v>
      </c>
      <c r="H62" s="18" t="str">
        <f t="shared" si="3"/>
        <v>Καλατζής</v>
      </c>
      <c r="I62" s="1" t="s">
        <v>86</v>
      </c>
      <c r="J62" s="5" t="s">
        <v>338</v>
      </c>
      <c r="K62" s="5" t="s">
        <v>327</v>
      </c>
      <c r="L62" s="1" t="s">
        <v>78</v>
      </c>
      <c r="M62" s="1" t="s">
        <v>23</v>
      </c>
      <c r="N62" s="1" t="s">
        <v>152</v>
      </c>
    </row>
    <row r="63" spans="1:14" ht="15" customHeight="1" x14ac:dyDescent="0.2">
      <c r="A63" s="1">
        <v>50</v>
      </c>
      <c r="B63" s="6" t="s">
        <v>379</v>
      </c>
      <c r="C63" s="6" t="s">
        <v>122</v>
      </c>
      <c r="D63" s="6" t="s">
        <v>126</v>
      </c>
      <c r="E63" s="15" t="s">
        <v>227</v>
      </c>
      <c r="F63" s="8">
        <v>1</v>
      </c>
      <c r="G63" s="18" t="str">
        <f t="shared" si="2"/>
        <v xml:space="preserve">Βασίλειος </v>
      </c>
      <c r="H63" s="18" t="str">
        <f t="shared" si="3"/>
        <v>Μαγγανάς</v>
      </c>
      <c r="I63" s="1" t="s">
        <v>49</v>
      </c>
      <c r="J63" s="19" t="s">
        <v>325</v>
      </c>
      <c r="K63" s="21" t="s">
        <v>339</v>
      </c>
      <c r="L63" s="1" t="s">
        <v>25</v>
      </c>
      <c r="M63" s="1" t="s">
        <v>9</v>
      </c>
      <c r="N63" s="1" t="s">
        <v>153</v>
      </c>
    </row>
    <row r="64" spans="1:14" ht="15" customHeight="1" x14ac:dyDescent="0.2">
      <c r="A64" s="1">
        <v>55</v>
      </c>
      <c r="B64" s="6" t="s">
        <v>379</v>
      </c>
      <c r="C64" s="6" t="s">
        <v>122</v>
      </c>
      <c r="D64" s="6" t="s">
        <v>126</v>
      </c>
      <c r="E64" s="15" t="s">
        <v>228</v>
      </c>
      <c r="F64" s="8">
        <v>1</v>
      </c>
      <c r="G64" s="18" t="str">
        <f t="shared" si="2"/>
        <v xml:space="preserve">Βασίλειος </v>
      </c>
      <c r="H64" s="18" t="str">
        <f t="shared" si="3"/>
        <v>Μαγγανάς</v>
      </c>
      <c r="I64" s="1" t="s">
        <v>49</v>
      </c>
      <c r="J64" s="19" t="s">
        <v>325</v>
      </c>
      <c r="K64" s="21" t="s">
        <v>340</v>
      </c>
      <c r="L64" s="1" t="s">
        <v>51</v>
      </c>
      <c r="M64" s="1" t="s">
        <v>23</v>
      </c>
      <c r="N64" s="1" t="s">
        <v>154</v>
      </c>
    </row>
    <row r="65" spans="1:14" ht="15" customHeight="1" x14ac:dyDescent="0.2">
      <c r="A65" s="1">
        <v>60</v>
      </c>
      <c r="B65" s="6" t="s">
        <v>379</v>
      </c>
      <c r="C65" s="6" t="s">
        <v>122</v>
      </c>
      <c r="D65" s="6" t="s">
        <v>126</v>
      </c>
      <c r="E65" s="15" t="s">
        <v>229</v>
      </c>
      <c r="F65" s="8">
        <v>1</v>
      </c>
      <c r="G65" s="18" t="str">
        <f t="shared" si="2"/>
        <v xml:space="preserve">Βασίλειος </v>
      </c>
      <c r="H65" s="18" t="str">
        <f t="shared" si="3"/>
        <v>Μαγγανάς</v>
      </c>
      <c r="I65" s="1" t="s">
        <v>49</v>
      </c>
      <c r="J65" s="19" t="s">
        <v>325</v>
      </c>
      <c r="K65" s="1" t="s">
        <v>264</v>
      </c>
      <c r="L65" s="1" t="s">
        <v>4</v>
      </c>
      <c r="N65" s="1" t="s">
        <v>155</v>
      </c>
    </row>
    <row r="66" spans="1:14" ht="15" customHeight="1" x14ac:dyDescent="0.2">
      <c r="A66" s="1">
        <v>65</v>
      </c>
      <c r="B66" s="6" t="s">
        <v>379</v>
      </c>
      <c r="C66" s="6" t="s">
        <v>122</v>
      </c>
      <c r="D66" s="6" t="s">
        <v>126</v>
      </c>
      <c r="E66" s="15" t="s">
        <v>230</v>
      </c>
      <c r="F66" s="8">
        <v>1</v>
      </c>
      <c r="G66" s="18" t="str">
        <f t="shared" si="2"/>
        <v xml:space="preserve">Παναγιώτης </v>
      </c>
      <c r="H66" s="18" t="str">
        <f t="shared" si="3"/>
        <v>Μανωλόπουλος</v>
      </c>
      <c r="I66" s="1" t="s">
        <v>98</v>
      </c>
      <c r="J66" s="19" t="s">
        <v>341</v>
      </c>
      <c r="K66" s="21" t="s">
        <v>342</v>
      </c>
      <c r="L66" s="1" t="s">
        <v>4</v>
      </c>
      <c r="N66" s="1" t="s">
        <v>156</v>
      </c>
    </row>
    <row r="67" spans="1:14" ht="15" hidden="1" customHeight="1" x14ac:dyDescent="0.2">
      <c r="A67" s="1">
        <v>35</v>
      </c>
      <c r="B67" s="6" t="s">
        <v>102</v>
      </c>
      <c r="C67" s="6" t="s">
        <v>127</v>
      </c>
      <c r="D67" s="6" t="s">
        <v>126</v>
      </c>
      <c r="E67" s="15" t="s">
        <v>231</v>
      </c>
      <c r="F67" s="8">
        <v>1</v>
      </c>
      <c r="G67" s="18" t="str">
        <f t="shared" ref="G67:G73" si="4">LEFT(I67,FIND(" ",I67))</f>
        <v xml:space="preserve">Νίκη </v>
      </c>
      <c r="H67" s="18" t="str">
        <f t="shared" ref="H67:H73" si="5">MID(I67,FIND(" ",I67)+1,LEN(I67)-LEN(G67))</f>
        <v>Μπακογιάννη</v>
      </c>
      <c r="I67" s="1" t="s">
        <v>89</v>
      </c>
      <c r="J67" s="19" t="s">
        <v>343</v>
      </c>
      <c r="K67" s="19" t="s">
        <v>344</v>
      </c>
      <c r="L67" s="1" t="s">
        <v>44</v>
      </c>
      <c r="M67" s="5"/>
    </row>
    <row r="68" spans="1:14" ht="15" hidden="1" customHeight="1" x14ac:dyDescent="0.2">
      <c r="A68" s="1">
        <v>40</v>
      </c>
      <c r="B68" s="6" t="s">
        <v>102</v>
      </c>
      <c r="C68" s="6" t="s">
        <v>127</v>
      </c>
      <c r="D68" s="6" t="s">
        <v>126</v>
      </c>
      <c r="E68" s="15" t="s">
        <v>179</v>
      </c>
      <c r="F68" s="8">
        <v>1</v>
      </c>
      <c r="G68" s="18" t="str">
        <f t="shared" si="4"/>
        <v xml:space="preserve">Φανή </v>
      </c>
      <c r="H68" s="18" t="str">
        <f t="shared" si="5"/>
        <v>Λύκου</v>
      </c>
      <c r="I68" s="14" t="s">
        <v>55</v>
      </c>
      <c r="J68" s="20" t="s">
        <v>345</v>
      </c>
      <c r="K68" s="19" t="s">
        <v>346</v>
      </c>
      <c r="L68" s="1" t="s">
        <v>10</v>
      </c>
      <c r="M68" s="1" t="s">
        <v>9</v>
      </c>
    </row>
    <row r="69" spans="1:14" ht="15" hidden="1" customHeight="1" x14ac:dyDescent="0.2">
      <c r="A69" s="1">
        <v>45</v>
      </c>
      <c r="B69" s="6" t="s">
        <v>102</v>
      </c>
      <c r="C69" s="6" t="s">
        <v>127</v>
      </c>
      <c r="D69" s="6" t="s">
        <v>126</v>
      </c>
      <c r="E69" s="15" t="s">
        <v>232</v>
      </c>
      <c r="F69" s="8">
        <v>1</v>
      </c>
      <c r="G69" s="18" t="str">
        <f t="shared" si="4"/>
        <v xml:space="preserve">Φανή </v>
      </c>
      <c r="H69" s="18" t="str">
        <f t="shared" si="5"/>
        <v>Λύκου</v>
      </c>
      <c r="I69" s="1" t="s">
        <v>55</v>
      </c>
      <c r="J69" s="19" t="s">
        <v>345</v>
      </c>
      <c r="K69" s="19" t="s">
        <v>320</v>
      </c>
      <c r="L69" s="1" t="s">
        <v>56</v>
      </c>
      <c r="M69" s="5" t="s">
        <v>83</v>
      </c>
    </row>
    <row r="70" spans="1:14" ht="15" hidden="1" customHeight="1" x14ac:dyDescent="0.2">
      <c r="A70" s="1">
        <v>50</v>
      </c>
      <c r="B70" s="6" t="s">
        <v>102</v>
      </c>
      <c r="C70" s="6" t="s">
        <v>127</v>
      </c>
      <c r="D70" s="6" t="s">
        <v>126</v>
      </c>
      <c r="E70" s="15" t="s">
        <v>233</v>
      </c>
      <c r="F70" s="8">
        <v>1</v>
      </c>
      <c r="G70" s="18" t="str">
        <f t="shared" si="4"/>
        <v xml:space="preserve">Παρασκευή </v>
      </c>
      <c r="H70" s="18" t="str">
        <f t="shared" si="5"/>
        <v>Σιδερίδου</v>
      </c>
      <c r="I70" s="14" t="s">
        <v>62</v>
      </c>
      <c r="J70" s="20" t="s">
        <v>347</v>
      </c>
      <c r="K70" s="19" t="s">
        <v>348</v>
      </c>
      <c r="L70" s="1" t="s">
        <v>27</v>
      </c>
      <c r="M70" s="1" t="s">
        <v>19</v>
      </c>
    </row>
    <row r="71" spans="1:14" ht="15" hidden="1" customHeight="1" x14ac:dyDescent="0.2">
      <c r="A71" s="1">
        <v>55</v>
      </c>
      <c r="B71" s="6" t="s">
        <v>102</v>
      </c>
      <c r="C71" s="6" t="s">
        <v>127</v>
      </c>
      <c r="D71" s="6" t="s">
        <v>126</v>
      </c>
      <c r="E71" s="15" t="s">
        <v>234</v>
      </c>
      <c r="F71" s="8">
        <v>1</v>
      </c>
      <c r="G71" s="18" t="str">
        <f t="shared" si="4"/>
        <v xml:space="preserve">Ελένη </v>
      </c>
      <c r="H71" s="18" t="str">
        <f t="shared" si="5"/>
        <v>Γκούζια</v>
      </c>
      <c r="I71" s="1" t="s">
        <v>87</v>
      </c>
      <c r="J71" s="19" t="s">
        <v>349</v>
      </c>
      <c r="K71" s="5" t="s">
        <v>350</v>
      </c>
      <c r="L71" s="1" t="s">
        <v>90</v>
      </c>
      <c r="M71" s="1" t="s">
        <v>9</v>
      </c>
    </row>
    <row r="72" spans="1:14" ht="15" hidden="1" customHeight="1" x14ac:dyDescent="0.2">
      <c r="A72" s="1">
        <v>60</v>
      </c>
      <c r="B72" s="6" t="s">
        <v>102</v>
      </c>
      <c r="C72" s="6" t="s">
        <v>127</v>
      </c>
      <c r="D72" s="6" t="s">
        <v>126</v>
      </c>
      <c r="E72" s="15" t="s">
        <v>235</v>
      </c>
      <c r="F72" s="8">
        <v>1</v>
      </c>
      <c r="G72" s="18" t="str">
        <f t="shared" si="4"/>
        <v xml:space="preserve">Ελένη </v>
      </c>
      <c r="H72" s="18" t="str">
        <f t="shared" si="5"/>
        <v>Γκούζια</v>
      </c>
      <c r="I72" s="1" t="s">
        <v>87</v>
      </c>
      <c r="J72" s="19" t="s">
        <v>349</v>
      </c>
      <c r="K72" s="5" t="s">
        <v>351</v>
      </c>
      <c r="L72" s="1" t="s">
        <v>52</v>
      </c>
      <c r="M72" s="1" t="s">
        <v>9</v>
      </c>
    </row>
    <row r="73" spans="1:14" ht="15" hidden="1" customHeight="1" x14ac:dyDescent="0.2">
      <c r="A73" s="1">
        <v>65</v>
      </c>
      <c r="B73" s="6" t="s">
        <v>102</v>
      </c>
      <c r="C73" s="6" t="s">
        <v>127</v>
      </c>
      <c r="D73" s="6" t="s">
        <v>126</v>
      </c>
      <c r="E73" s="15" t="s">
        <v>236</v>
      </c>
      <c r="F73" s="8">
        <v>1</v>
      </c>
      <c r="G73" s="18" t="str">
        <f t="shared" si="4"/>
        <v xml:space="preserve">Ελένη </v>
      </c>
      <c r="H73" s="18" t="str">
        <f t="shared" si="5"/>
        <v>Γκούζια</v>
      </c>
      <c r="I73" s="1" t="s">
        <v>87</v>
      </c>
      <c r="J73" s="19" t="s">
        <v>349</v>
      </c>
      <c r="K73" s="5" t="s">
        <v>328</v>
      </c>
      <c r="L73" s="5" t="s">
        <v>51</v>
      </c>
      <c r="M73" s="1" t="s">
        <v>23</v>
      </c>
    </row>
    <row r="74" spans="1:14" ht="15" hidden="1" customHeight="1" x14ac:dyDescent="0.2">
      <c r="A74" s="1">
        <v>70</v>
      </c>
      <c r="B74" s="6" t="s">
        <v>102</v>
      </c>
      <c r="C74" s="6" t="s">
        <v>127</v>
      </c>
      <c r="D74" s="6" t="s">
        <v>126</v>
      </c>
      <c r="E74" s="15" t="s">
        <v>235</v>
      </c>
      <c r="F74" s="8">
        <v>1</v>
      </c>
      <c r="G74" s="18" t="str">
        <f t="shared" ref="G74:G102" si="6">LEFT(I74,FIND(" ",I74))</f>
        <v xml:space="preserve">Ελένη </v>
      </c>
      <c r="H74" s="18" t="str">
        <f t="shared" ref="H74:H102" si="7">MID(I74,FIND(" ",I74)+1,LEN(I74)-LEN(G74))</f>
        <v>Γκούζια</v>
      </c>
      <c r="I74" s="1" t="s">
        <v>87</v>
      </c>
      <c r="J74" s="19" t="s">
        <v>349</v>
      </c>
      <c r="K74" s="19" t="s">
        <v>352</v>
      </c>
      <c r="L74" s="1" t="s">
        <v>10</v>
      </c>
      <c r="M74" s="1" t="s">
        <v>23</v>
      </c>
    </row>
    <row r="75" spans="1:14" ht="15" hidden="1" customHeight="1" x14ac:dyDescent="0.2">
      <c r="A75" s="1">
        <v>35</v>
      </c>
      <c r="B75" s="6" t="s">
        <v>128</v>
      </c>
      <c r="C75" s="6" t="s">
        <v>127</v>
      </c>
      <c r="D75" s="6" t="s">
        <v>126</v>
      </c>
      <c r="E75" s="15" t="s">
        <v>237</v>
      </c>
      <c r="F75" s="8">
        <v>1</v>
      </c>
      <c r="G75" s="18" t="str">
        <f t="shared" si="6"/>
        <v xml:space="preserve">Νικολέτα </v>
      </c>
      <c r="H75" s="18" t="str">
        <f t="shared" si="7"/>
        <v>Κυριακοπούλου</v>
      </c>
      <c r="I75" s="1" t="s">
        <v>99</v>
      </c>
      <c r="J75" s="19" t="s">
        <v>353</v>
      </c>
      <c r="K75" s="19" t="s">
        <v>296</v>
      </c>
      <c r="L75" s="1" t="s">
        <v>44</v>
      </c>
      <c r="M75" s="1" t="s">
        <v>21</v>
      </c>
    </row>
    <row r="76" spans="1:14" ht="15" hidden="1" customHeight="1" x14ac:dyDescent="0.2">
      <c r="A76" s="1">
        <v>35</v>
      </c>
      <c r="B76" s="6" t="s">
        <v>30</v>
      </c>
      <c r="C76" s="6" t="s">
        <v>127</v>
      </c>
      <c r="D76" s="6" t="s">
        <v>126</v>
      </c>
      <c r="E76" s="15" t="s">
        <v>238</v>
      </c>
      <c r="F76" s="8">
        <v>1</v>
      </c>
      <c r="G76" s="18" t="str">
        <f t="shared" si="6"/>
        <v xml:space="preserve">Σοφία </v>
      </c>
      <c r="H76" s="18" t="str">
        <f t="shared" si="7"/>
        <v>Υφαντίδου</v>
      </c>
      <c r="I76" s="1" t="s">
        <v>60</v>
      </c>
      <c r="J76" s="19" t="s">
        <v>354</v>
      </c>
      <c r="K76" s="19" t="s">
        <v>355</v>
      </c>
      <c r="L76" s="1" t="s">
        <v>44</v>
      </c>
      <c r="M76" s="5" t="s">
        <v>69</v>
      </c>
    </row>
    <row r="77" spans="1:14" ht="15" hidden="1" customHeight="1" x14ac:dyDescent="0.2">
      <c r="A77" s="1">
        <v>40</v>
      </c>
      <c r="B77" s="6" t="s">
        <v>30</v>
      </c>
      <c r="C77" s="6" t="s">
        <v>127</v>
      </c>
      <c r="D77" s="6" t="s">
        <v>126</v>
      </c>
      <c r="E77" s="15" t="s">
        <v>239</v>
      </c>
      <c r="F77" s="8">
        <v>1</v>
      </c>
      <c r="G77" s="18" t="str">
        <f t="shared" si="6"/>
        <v xml:space="preserve">Φανή </v>
      </c>
      <c r="H77" s="18" t="str">
        <f t="shared" si="7"/>
        <v>Λύκου</v>
      </c>
      <c r="I77" s="1" t="s">
        <v>55</v>
      </c>
      <c r="J77" s="19" t="s">
        <v>345</v>
      </c>
      <c r="K77" s="19" t="s">
        <v>356</v>
      </c>
      <c r="L77" s="1" t="s">
        <v>56</v>
      </c>
      <c r="M77" s="5" t="s">
        <v>66</v>
      </c>
    </row>
    <row r="78" spans="1:14" ht="15" hidden="1" customHeight="1" x14ac:dyDescent="0.2">
      <c r="A78" s="1">
        <v>45</v>
      </c>
      <c r="B78" s="6" t="s">
        <v>30</v>
      </c>
      <c r="C78" s="6" t="s">
        <v>127</v>
      </c>
      <c r="D78" s="6" t="s">
        <v>126</v>
      </c>
      <c r="E78" s="15" t="s">
        <v>240</v>
      </c>
      <c r="F78" s="8">
        <v>1</v>
      </c>
      <c r="G78" s="18" t="str">
        <f t="shared" si="6"/>
        <v xml:space="preserve">Φανή </v>
      </c>
      <c r="H78" s="18" t="str">
        <f t="shared" si="7"/>
        <v>Λύκου</v>
      </c>
      <c r="I78" s="1" t="s">
        <v>55</v>
      </c>
      <c r="J78" s="19" t="s">
        <v>345</v>
      </c>
      <c r="K78" s="19" t="s">
        <v>279</v>
      </c>
      <c r="L78" s="1" t="s">
        <v>56</v>
      </c>
      <c r="M78" s="5" t="s">
        <v>66</v>
      </c>
    </row>
    <row r="79" spans="1:14" ht="15" hidden="1" customHeight="1" x14ac:dyDescent="0.2">
      <c r="A79" s="1">
        <v>50</v>
      </c>
      <c r="B79" s="6" t="s">
        <v>30</v>
      </c>
      <c r="C79" s="6" t="s">
        <v>127</v>
      </c>
      <c r="D79" s="6" t="s">
        <v>126</v>
      </c>
      <c r="E79" s="15" t="s">
        <v>241</v>
      </c>
      <c r="F79" s="8">
        <v>1</v>
      </c>
      <c r="G79" s="18" t="str">
        <f t="shared" si="6"/>
        <v xml:space="preserve">Άννα </v>
      </c>
      <c r="H79" s="18" t="str">
        <f t="shared" si="7"/>
        <v>Δάφτσου</v>
      </c>
      <c r="I79" s="1" t="s">
        <v>28</v>
      </c>
      <c r="J79" s="19" t="s">
        <v>357</v>
      </c>
      <c r="K79" s="19" t="s">
        <v>358</v>
      </c>
      <c r="L79" s="1" t="s">
        <v>27</v>
      </c>
      <c r="M79" s="1" t="s">
        <v>19</v>
      </c>
    </row>
    <row r="80" spans="1:14" ht="15" hidden="1" customHeight="1" x14ac:dyDescent="0.2">
      <c r="A80" s="1">
        <v>55</v>
      </c>
      <c r="B80" s="6" t="s">
        <v>30</v>
      </c>
      <c r="C80" s="6" t="s">
        <v>127</v>
      </c>
      <c r="D80" s="6" t="s">
        <v>126</v>
      </c>
      <c r="E80" s="15" t="s">
        <v>242</v>
      </c>
      <c r="F80" s="8">
        <v>1</v>
      </c>
      <c r="G80" s="18" t="str">
        <f t="shared" si="6"/>
        <v xml:space="preserve">Ελένη </v>
      </c>
      <c r="H80" s="18" t="str">
        <f t="shared" si="7"/>
        <v>Γκούζια</v>
      </c>
      <c r="I80" s="1" t="s">
        <v>87</v>
      </c>
      <c r="J80" s="19" t="s">
        <v>349</v>
      </c>
      <c r="K80" s="5" t="s">
        <v>350</v>
      </c>
      <c r="L80" s="1" t="s">
        <v>90</v>
      </c>
      <c r="M80" s="1" t="s">
        <v>9</v>
      </c>
    </row>
    <row r="81" spans="1:14" ht="15" hidden="1" customHeight="1" x14ac:dyDescent="0.2">
      <c r="A81" s="1">
        <v>60</v>
      </c>
      <c r="B81" s="6" t="s">
        <v>30</v>
      </c>
      <c r="C81" s="6" t="s">
        <v>127</v>
      </c>
      <c r="D81" s="6" t="s">
        <v>126</v>
      </c>
      <c r="E81" s="15" t="s">
        <v>243</v>
      </c>
      <c r="F81" s="8">
        <v>1</v>
      </c>
      <c r="G81" s="18" t="str">
        <f t="shared" si="6"/>
        <v xml:space="preserve">Μαρία </v>
      </c>
      <c r="H81" s="18" t="str">
        <f t="shared" si="7"/>
        <v>Τζάνου</v>
      </c>
      <c r="I81" s="1" t="s">
        <v>58</v>
      </c>
      <c r="J81" s="19" t="s">
        <v>359</v>
      </c>
      <c r="K81" s="19" t="s">
        <v>360</v>
      </c>
      <c r="L81" s="1" t="s">
        <v>18</v>
      </c>
      <c r="M81" s="1" t="s">
        <v>19</v>
      </c>
    </row>
    <row r="82" spans="1:14" ht="15" hidden="1" customHeight="1" x14ac:dyDescent="0.2">
      <c r="A82" s="1">
        <v>65</v>
      </c>
      <c r="B82" s="6" t="s">
        <v>30</v>
      </c>
      <c r="C82" s="6" t="s">
        <v>127</v>
      </c>
      <c r="D82" s="6" t="s">
        <v>126</v>
      </c>
      <c r="E82" s="15" t="s">
        <v>244</v>
      </c>
      <c r="F82" s="8">
        <v>1</v>
      </c>
      <c r="G82" s="18" t="str">
        <f t="shared" si="6"/>
        <v xml:space="preserve">Ελένη </v>
      </c>
      <c r="H82" s="18" t="str">
        <f t="shared" si="7"/>
        <v>Γκούζια</v>
      </c>
      <c r="I82" s="1" t="s">
        <v>87</v>
      </c>
      <c r="J82" s="19" t="s">
        <v>349</v>
      </c>
      <c r="K82" s="19" t="s">
        <v>361</v>
      </c>
      <c r="L82" s="1" t="s">
        <v>51</v>
      </c>
      <c r="M82" s="1" t="s">
        <v>23</v>
      </c>
    </row>
    <row r="83" spans="1:14" ht="15" hidden="1" customHeight="1" x14ac:dyDescent="0.2">
      <c r="A83" s="1">
        <v>70</v>
      </c>
      <c r="B83" s="6" t="s">
        <v>30</v>
      </c>
      <c r="C83" s="6" t="s">
        <v>127</v>
      </c>
      <c r="D83" s="6" t="s">
        <v>126</v>
      </c>
      <c r="E83" s="15" t="s">
        <v>245</v>
      </c>
      <c r="F83" s="8">
        <v>1</v>
      </c>
      <c r="G83" s="18" t="str">
        <f t="shared" si="6"/>
        <v xml:space="preserve">Ελένη </v>
      </c>
      <c r="H83" s="18" t="str">
        <f t="shared" si="7"/>
        <v>Γκούζια</v>
      </c>
      <c r="I83" s="1" t="s">
        <v>87</v>
      </c>
      <c r="J83" s="19" t="s">
        <v>349</v>
      </c>
      <c r="K83" s="19" t="s">
        <v>352</v>
      </c>
      <c r="L83" s="1" t="s">
        <v>10</v>
      </c>
      <c r="M83" s="1" t="s">
        <v>23</v>
      </c>
    </row>
    <row r="84" spans="1:14" ht="15" hidden="1" customHeight="1" x14ac:dyDescent="0.2">
      <c r="A84" s="1">
        <v>35</v>
      </c>
      <c r="B84" s="6" t="s">
        <v>46</v>
      </c>
      <c r="C84" s="6" t="s">
        <v>127</v>
      </c>
      <c r="D84" s="6" t="s">
        <v>126</v>
      </c>
      <c r="E84" s="15" t="s">
        <v>246</v>
      </c>
      <c r="F84" s="8">
        <v>1</v>
      </c>
      <c r="G84" s="18" t="str">
        <f t="shared" si="6"/>
        <v xml:space="preserve">Αγνή </v>
      </c>
      <c r="H84" s="18" t="str">
        <f t="shared" si="7"/>
        <v>Γεωργίου</v>
      </c>
      <c r="I84" s="1" t="s">
        <v>61</v>
      </c>
      <c r="J84" s="5" t="s">
        <v>362</v>
      </c>
      <c r="K84" s="19" t="s">
        <v>363</v>
      </c>
      <c r="L84" s="1" t="s">
        <v>44</v>
      </c>
      <c r="M84" s="1" t="s">
        <v>21</v>
      </c>
    </row>
    <row r="85" spans="1:14" ht="15" hidden="1" customHeight="1" x14ac:dyDescent="0.2">
      <c r="A85" s="1">
        <v>40</v>
      </c>
      <c r="B85" s="6" t="s">
        <v>46</v>
      </c>
      <c r="C85" s="6" t="s">
        <v>127</v>
      </c>
      <c r="D85" s="6" t="s">
        <v>126</v>
      </c>
      <c r="E85" s="15" t="s">
        <v>247</v>
      </c>
      <c r="F85" s="8">
        <v>1</v>
      </c>
      <c r="G85" s="18" t="str">
        <f t="shared" si="6"/>
        <v xml:space="preserve">Φανή </v>
      </c>
      <c r="H85" s="18" t="str">
        <f t="shared" si="7"/>
        <v>Λύκου</v>
      </c>
      <c r="I85" s="1" t="s">
        <v>55</v>
      </c>
      <c r="J85" s="19" t="s">
        <v>345</v>
      </c>
      <c r="K85" s="19" t="s">
        <v>364</v>
      </c>
      <c r="L85" s="1" t="s">
        <v>10</v>
      </c>
      <c r="M85" s="1" t="s">
        <v>9</v>
      </c>
    </row>
    <row r="86" spans="1:14" ht="15" hidden="1" customHeight="1" x14ac:dyDescent="0.2">
      <c r="A86" s="1">
        <v>45</v>
      </c>
      <c r="B86" s="6" t="s">
        <v>46</v>
      </c>
      <c r="C86" s="6" t="s">
        <v>127</v>
      </c>
      <c r="D86" s="6" t="s">
        <v>126</v>
      </c>
      <c r="E86" s="15" t="s">
        <v>248</v>
      </c>
      <c r="F86" s="8">
        <v>1</v>
      </c>
      <c r="G86" s="18" t="str">
        <f t="shared" si="6"/>
        <v xml:space="preserve">Φανή </v>
      </c>
      <c r="H86" s="18" t="str">
        <f t="shared" si="7"/>
        <v>Λύκου</v>
      </c>
      <c r="I86" s="1" t="s">
        <v>55</v>
      </c>
      <c r="J86" s="19" t="s">
        <v>345</v>
      </c>
      <c r="K86" s="19" t="s">
        <v>365</v>
      </c>
      <c r="L86" s="14" t="s">
        <v>56</v>
      </c>
      <c r="M86" s="14" t="s">
        <v>69</v>
      </c>
    </row>
    <row r="87" spans="1:14" ht="15" hidden="1" customHeight="1" x14ac:dyDescent="0.2">
      <c r="A87" s="1">
        <v>50</v>
      </c>
      <c r="B87" s="6" t="s">
        <v>46</v>
      </c>
      <c r="C87" s="6" t="s">
        <v>127</v>
      </c>
      <c r="D87" s="6" t="s">
        <v>126</v>
      </c>
      <c r="E87" s="15" t="s">
        <v>249</v>
      </c>
      <c r="F87" s="8">
        <v>1</v>
      </c>
      <c r="G87" s="18" t="str">
        <f t="shared" si="6"/>
        <v xml:space="preserve">Μάγδα </v>
      </c>
      <c r="H87" s="18" t="str">
        <f t="shared" si="7"/>
        <v>Ροϊλλίδου</v>
      </c>
      <c r="I87" s="1" t="s">
        <v>53</v>
      </c>
      <c r="J87" s="19" t="s">
        <v>366</v>
      </c>
      <c r="K87" s="5" t="s">
        <v>350</v>
      </c>
      <c r="L87" s="1" t="s">
        <v>90</v>
      </c>
      <c r="M87" s="1" t="s">
        <v>9</v>
      </c>
    </row>
    <row r="88" spans="1:14" ht="15" hidden="1" customHeight="1" x14ac:dyDescent="0.2">
      <c r="A88" s="1">
        <v>55</v>
      </c>
      <c r="B88" s="6" t="s">
        <v>46</v>
      </c>
      <c r="C88" s="6" t="s">
        <v>127</v>
      </c>
      <c r="D88" s="6" t="s">
        <v>126</v>
      </c>
      <c r="E88" s="15" t="s">
        <v>250</v>
      </c>
      <c r="F88" s="8">
        <v>1</v>
      </c>
      <c r="G88" s="18" t="str">
        <f t="shared" si="6"/>
        <v xml:space="preserve">Αγνή </v>
      </c>
      <c r="H88" s="18" t="str">
        <f t="shared" si="7"/>
        <v>Γεωργίου</v>
      </c>
      <c r="I88" s="1" t="s">
        <v>61</v>
      </c>
      <c r="J88" s="5" t="s">
        <v>362</v>
      </c>
      <c r="K88" s="5" t="s">
        <v>332</v>
      </c>
      <c r="L88" s="1" t="s">
        <v>56</v>
      </c>
      <c r="M88" s="1" t="s">
        <v>13</v>
      </c>
    </row>
    <row r="89" spans="1:14" ht="15" hidden="1" customHeight="1" x14ac:dyDescent="0.2">
      <c r="A89" s="1">
        <v>35</v>
      </c>
      <c r="B89" s="6" t="s">
        <v>129</v>
      </c>
      <c r="C89" s="6" t="s">
        <v>127</v>
      </c>
      <c r="D89" s="6" t="s">
        <v>126</v>
      </c>
      <c r="E89" s="15" t="s">
        <v>251</v>
      </c>
      <c r="F89" s="8">
        <v>1</v>
      </c>
      <c r="G89" s="18" t="str">
        <f t="shared" si="6"/>
        <v xml:space="preserve">Ρενάτα </v>
      </c>
      <c r="H89" s="18" t="str">
        <f t="shared" si="7"/>
        <v>Μπολσακοβάιτε </v>
      </c>
      <c r="I89" s="1" t="s">
        <v>63</v>
      </c>
      <c r="J89" s="5" t="s">
        <v>367</v>
      </c>
      <c r="K89" s="19" t="s">
        <v>368</v>
      </c>
      <c r="L89" s="1" t="s">
        <v>44</v>
      </c>
      <c r="M89" s="1" t="s">
        <v>21</v>
      </c>
      <c r="N89" s="1" t="s">
        <v>157</v>
      </c>
    </row>
    <row r="90" spans="1:14" ht="15" hidden="1" customHeight="1" x14ac:dyDescent="0.2">
      <c r="A90" s="1">
        <v>40</v>
      </c>
      <c r="B90" s="6" t="s">
        <v>129</v>
      </c>
      <c r="C90" s="6" t="s">
        <v>127</v>
      </c>
      <c r="D90" s="6" t="s">
        <v>126</v>
      </c>
      <c r="E90" s="15" t="s">
        <v>252</v>
      </c>
      <c r="F90" s="8">
        <v>1</v>
      </c>
      <c r="G90" s="18" t="str">
        <f t="shared" si="6"/>
        <v xml:space="preserve">Γιασμίνα </v>
      </c>
      <c r="H90" s="18" t="str">
        <f t="shared" si="7"/>
        <v>Ευθυμία Σταματοπούλου</v>
      </c>
      <c r="I90" s="1" t="s">
        <v>65</v>
      </c>
      <c r="J90" s="19" t="s">
        <v>369</v>
      </c>
      <c r="K90" s="19" t="s">
        <v>308</v>
      </c>
      <c r="L90" s="1" t="s">
        <v>18</v>
      </c>
      <c r="M90" s="1" t="s">
        <v>19</v>
      </c>
      <c r="N90" s="1" t="s">
        <v>158</v>
      </c>
    </row>
    <row r="91" spans="1:14" ht="15" hidden="1" customHeight="1" x14ac:dyDescent="0.2">
      <c r="A91" s="1">
        <v>45</v>
      </c>
      <c r="B91" s="6" t="s">
        <v>129</v>
      </c>
      <c r="C91" s="6" t="s">
        <v>127</v>
      </c>
      <c r="D91" s="6" t="s">
        <v>126</v>
      </c>
      <c r="E91" s="15" t="s">
        <v>253</v>
      </c>
      <c r="F91" s="8">
        <v>1</v>
      </c>
      <c r="G91" s="18" t="str">
        <f t="shared" si="6"/>
        <v xml:space="preserve">Ιωάννα </v>
      </c>
      <c r="H91" s="18" t="str">
        <f t="shared" si="7"/>
        <v>Πανάβογλου</v>
      </c>
      <c r="I91" s="14" t="s">
        <v>100</v>
      </c>
      <c r="J91" s="20" t="s">
        <v>370</v>
      </c>
      <c r="K91" s="19" t="s">
        <v>358</v>
      </c>
      <c r="L91" s="1" t="s">
        <v>27</v>
      </c>
      <c r="M91" s="1" t="s">
        <v>19</v>
      </c>
      <c r="N91" s="1" t="s">
        <v>159</v>
      </c>
    </row>
    <row r="92" spans="1:14" ht="15" hidden="1" customHeight="1" x14ac:dyDescent="0.2">
      <c r="A92" s="1">
        <v>50</v>
      </c>
      <c r="B92" s="6" t="s">
        <v>129</v>
      </c>
      <c r="C92" s="6" t="s">
        <v>127</v>
      </c>
      <c r="D92" s="6" t="s">
        <v>126</v>
      </c>
      <c r="E92" s="15" t="s">
        <v>254</v>
      </c>
      <c r="F92" s="8">
        <v>1</v>
      </c>
      <c r="G92" s="18" t="str">
        <f t="shared" si="6"/>
        <v xml:space="preserve">Μαρία </v>
      </c>
      <c r="H92" s="18" t="str">
        <f t="shared" si="7"/>
        <v>Πολομαρκάκη</v>
      </c>
      <c r="I92" s="1" t="s">
        <v>88</v>
      </c>
      <c r="J92" s="19" t="s">
        <v>371</v>
      </c>
      <c r="K92" s="20" t="s">
        <v>342</v>
      </c>
      <c r="L92" s="14" t="s">
        <v>56</v>
      </c>
      <c r="M92" s="14" t="s">
        <v>66</v>
      </c>
      <c r="N92" s="1" t="s">
        <v>160</v>
      </c>
    </row>
    <row r="93" spans="1:14" ht="15" hidden="1" customHeight="1" x14ac:dyDescent="0.2">
      <c r="A93" s="1">
        <v>55</v>
      </c>
      <c r="B93" s="6" t="s">
        <v>129</v>
      </c>
      <c r="C93" s="6" t="s">
        <v>127</v>
      </c>
      <c r="D93" s="6" t="s">
        <v>126</v>
      </c>
      <c r="E93" s="15" t="s">
        <v>207</v>
      </c>
      <c r="F93" s="8">
        <v>1</v>
      </c>
      <c r="G93" s="18" t="str">
        <f t="shared" si="6"/>
        <v xml:space="preserve">Σοφία </v>
      </c>
      <c r="H93" s="18" t="str">
        <f t="shared" si="7"/>
        <v>Φιλιπάκη</v>
      </c>
      <c r="I93" s="1" t="s">
        <v>64</v>
      </c>
      <c r="J93" s="19" t="s">
        <v>372</v>
      </c>
      <c r="K93" s="5" t="s">
        <v>332</v>
      </c>
      <c r="N93" s="1" t="s">
        <v>161</v>
      </c>
    </row>
    <row r="94" spans="1:14" ht="15" hidden="1" customHeight="1" x14ac:dyDescent="0.2">
      <c r="A94" s="1">
        <v>60</v>
      </c>
      <c r="B94" s="6" t="s">
        <v>129</v>
      </c>
      <c r="C94" s="6" t="s">
        <v>127</v>
      </c>
      <c r="D94" s="6" t="s">
        <v>126</v>
      </c>
      <c r="E94" s="15" t="s">
        <v>255</v>
      </c>
      <c r="F94" s="8">
        <v>1</v>
      </c>
      <c r="G94" s="18" t="str">
        <f t="shared" si="6"/>
        <v xml:space="preserve">Μάγδα </v>
      </c>
      <c r="H94" s="18" t="str">
        <f t="shared" si="7"/>
        <v>Ροϊλλίδου</v>
      </c>
      <c r="I94" s="1" t="s">
        <v>53</v>
      </c>
      <c r="J94" s="19" t="s">
        <v>366</v>
      </c>
      <c r="K94" s="5" t="s">
        <v>273</v>
      </c>
      <c r="N94" s="1" t="s">
        <v>162</v>
      </c>
    </row>
    <row r="95" spans="1:14" ht="15" hidden="1" customHeight="1" x14ac:dyDescent="0.2">
      <c r="A95" s="1">
        <v>65</v>
      </c>
      <c r="B95" s="6" t="s">
        <v>129</v>
      </c>
      <c r="C95" s="6" t="s">
        <v>127</v>
      </c>
      <c r="D95" s="6" t="s">
        <v>126</v>
      </c>
      <c r="E95" s="15" t="s">
        <v>256</v>
      </c>
      <c r="F95" s="8">
        <v>1</v>
      </c>
      <c r="G95" s="18" t="str">
        <f t="shared" si="6"/>
        <v xml:space="preserve">Μάγδα </v>
      </c>
      <c r="H95" s="18" t="str">
        <f t="shared" si="7"/>
        <v>Ροϊλλίδου</v>
      </c>
      <c r="I95" s="1" t="s">
        <v>53</v>
      </c>
      <c r="J95" s="19" t="s">
        <v>366</v>
      </c>
      <c r="K95" s="19" t="s">
        <v>308</v>
      </c>
      <c r="L95" s="1" t="s">
        <v>18</v>
      </c>
      <c r="M95" s="1" t="s">
        <v>19</v>
      </c>
      <c r="N95" s="1" t="s">
        <v>163</v>
      </c>
    </row>
    <row r="96" spans="1:14" ht="15" hidden="1" customHeight="1" x14ac:dyDescent="0.2">
      <c r="A96" s="1">
        <v>70</v>
      </c>
      <c r="B96" s="6" t="s">
        <v>129</v>
      </c>
      <c r="C96" s="6" t="s">
        <v>127</v>
      </c>
      <c r="D96" s="6" t="s">
        <v>126</v>
      </c>
      <c r="E96" s="15" t="s">
        <v>257</v>
      </c>
      <c r="F96" s="8">
        <v>1</v>
      </c>
      <c r="G96" s="18" t="str">
        <f t="shared" si="6"/>
        <v xml:space="preserve">Μάγδα </v>
      </c>
      <c r="H96" s="18" t="str">
        <f t="shared" si="7"/>
        <v>Ροϊλλίδου</v>
      </c>
      <c r="I96" s="1" t="s">
        <v>53</v>
      </c>
      <c r="J96" s="19" t="s">
        <v>366</v>
      </c>
      <c r="K96" s="19" t="s">
        <v>373</v>
      </c>
      <c r="L96" s="1" t="s">
        <v>10</v>
      </c>
      <c r="M96" s="1" t="s">
        <v>9</v>
      </c>
      <c r="N96" s="1" t="s">
        <v>164</v>
      </c>
    </row>
    <row r="97" spans="1:14" ht="15" hidden="1" customHeight="1" x14ac:dyDescent="0.2">
      <c r="A97" s="1">
        <v>75</v>
      </c>
      <c r="B97" s="6" t="s">
        <v>129</v>
      </c>
      <c r="C97" s="6" t="s">
        <v>127</v>
      </c>
      <c r="D97" s="6" t="s">
        <v>126</v>
      </c>
      <c r="E97" s="15" t="s">
        <v>258</v>
      </c>
      <c r="F97" s="8">
        <v>1</v>
      </c>
      <c r="G97" s="18" t="str">
        <f t="shared" si="6"/>
        <v xml:space="preserve">Σταματία </v>
      </c>
      <c r="H97" s="18" t="str">
        <f t="shared" si="7"/>
        <v>Φώτα</v>
      </c>
      <c r="I97" s="1" t="s">
        <v>59</v>
      </c>
      <c r="J97" s="19" t="s">
        <v>374</v>
      </c>
      <c r="K97" s="5" t="s">
        <v>375</v>
      </c>
      <c r="N97" s="1" t="s">
        <v>165</v>
      </c>
    </row>
    <row r="98" spans="1:14" ht="15" hidden="1" customHeight="1" x14ac:dyDescent="0.2">
      <c r="A98" s="1">
        <v>80</v>
      </c>
      <c r="B98" s="6" t="s">
        <v>129</v>
      </c>
      <c r="C98" s="6" t="s">
        <v>127</v>
      </c>
      <c r="D98" s="6" t="s">
        <v>126</v>
      </c>
      <c r="E98" s="15" t="s">
        <v>259</v>
      </c>
      <c r="F98" s="8">
        <v>1</v>
      </c>
      <c r="G98" s="18" t="str">
        <f t="shared" si="6"/>
        <v xml:space="preserve">Σταματία </v>
      </c>
      <c r="H98" s="18" t="str">
        <f t="shared" si="7"/>
        <v>Φώτα</v>
      </c>
      <c r="I98" s="1" t="s">
        <v>59</v>
      </c>
      <c r="J98" s="19" t="s">
        <v>374</v>
      </c>
      <c r="K98" s="5" t="s">
        <v>332</v>
      </c>
      <c r="N98" s="1" t="s">
        <v>166</v>
      </c>
    </row>
    <row r="99" spans="1:14" ht="15" hidden="1" customHeight="1" x14ac:dyDescent="0.2">
      <c r="A99" s="1">
        <v>85</v>
      </c>
      <c r="B99" s="6" t="s">
        <v>129</v>
      </c>
      <c r="C99" s="6" t="s">
        <v>127</v>
      </c>
      <c r="D99" s="6" t="s">
        <v>126</v>
      </c>
      <c r="E99" s="15" t="s">
        <v>260</v>
      </c>
      <c r="F99" s="8">
        <v>1</v>
      </c>
      <c r="G99" s="18" t="str">
        <f t="shared" si="6"/>
        <v xml:space="preserve">Σταματία </v>
      </c>
      <c r="H99" s="18" t="str">
        <f t="shared" si="7"/>
        <v>Φώτα</v>
      </c>
      <c r="I99" s="1" t="s">
        <v>59</v>
      </c>
      <c r="J99" s="19" t="s">
        <v>374</v>
      </c>
      <c r="K99" s="20" t="s">
        <v>274</v>
      </c>
      <c r="L99" s="14" t="s">
        <v>56</v>
      </c>
      <c r="M99" s="14" t="s">
        <v>66</v>
      </c>
      <c r="N99" s="1" t="s">
        <v>167</v>
      </c>
    </row>
    <row r="100" spans="1:14" ht="15" hidden="1" customHeight="1" x14ac:dyDescent="0.2">
      <c r="A100" s="1">
        <v>90</v>
      </c>
      <c r="B100" s="6" t="s">
        <v>129</v>
      </c>
      <c r="C100" s="6" t="s">
        <v>127</v>
      </c>
      <c r="D100" s="6" t="s">
        <v>126</v>
      </c>
      <c r="E100" s="15" t="s">
        <v>261</v>
      </c>
      <c r="F100" s="8">
        <v>1</v>
      </c>
      <c r="G100" s="18" t="str">
        <f t="shared" si="6"/>
        <v xml:space="preserve">Σταματία </v>
      </c>
      <c r="H100" s="18" t="str">
        <f t="shared" si="7"/>
        <v>Φώτα</v>
      </c>
      <c r="I100" s="1" t="s">
        <v>59</v>
      </c>
      <c r="J100" s="19" t="s">
        <v>374</v>
      </c>
      <c r="K100" s="20" t="s">
        <v>376</v>
      </c>
      <c r="L100" s="14" t="s">
        <v>56</v>
      </c>
      <c r="M100" s="14" t="s">
        <v>66</v>
      </c>
      <c r="N100" s="1" t="s">
        <v>168</v>
      </c>
    </row>
    <row r="101" spans="1:14" ht="15" customHeight="1" x14ac:dyDescent="0.2">
      <c r="A101" s="1">
        <v>55</v>
      </c>
      <c r="B101" s="6" t="s">
        <v>379</v>
      </c>
      <c r="C101" s="6" t="s">
        <v>127</v>
      </c>
      <c r="D101" s="6" t="s">
        <v>126</v>
      </c>
      <c r="E101" s="16" t="s">
        <v>262</v>
      </c>
      <c r="F101" s="8">
        <v>1</v>
      </c>
      <c r="G101" s="18" t="str">
        <f t="shared" si="6"/>
        <v xml:space="preserve">Μαρία </v>
      </c>
      <c r="H101" s="18" t="str">
        <f t="shared" si="7"/>
        <v>Πολομαρκάκη</v>
      </c>
      <c r="I101" s="14" t="s">
        <v>88</v>
      </c>
      <c r="J101" s="20" t="s">
        <v>371</v>
      </c>
      <c r="K101" s="21" t="s">
        <v>377</v>
      </c>
      <c r="L101" s="1" t="s">
        <v>10</v>
      </c>
      <c r="M101" s="1" t="s">
        <v>9</v>
      </c>
      <c r="N101" s="1" t="s">
        <v>169</v>
      </c>
    </row>
    <row r="102" spans="1:14" ht="15" customHeight="1" x14ac:dyDescent="0.2">
      <c r="A102" s="1">
        <v>70</v>
      </c>
      <c r="B102" s="6" t="s">
        <v>379</v>
      </c>
      <c r="C102" s="6" t="s">
        <v>127</v>
      </c>
      <c r="D102" s="6" t="s">
        <v>126</v>
      </c>
      <c r="E102" s="16" t="s">
        <v>263</v>
      </c>
      <c r="F102" s="8">
        <v>1</v>
      </c>
      <c r="G102" s="18" t="str">
        <f t="shared" si="6"/>
        <v xml:space="preserve">Μάγδα </v>
      </c>
      <c r="H102" s="18" t="str">
        <f t="shared" si="7"/>
        <v>Ροϊλλίδου</v>
      </c>
      <c r="I102" s="1" t="s">
        <v>53</v>
      </c>
      <c r="J102" s="19" t="s">
        <v>366</v>
      </c>
      <c r="K102" s="21" t="s">
        <v>377</v>
      </c>
      <c r="L102" s="1" t="s">
        <v>10</v>
      </c>
      <c r="M102" s="1" t="s">
        <v>9</v>
      </c>
      <c r="N102" s="1" t="s">
        <v>170</v>
      </c>
    </row>
  </sheetData>
  <autoFilter ref="B1:M102" xr:uid="{00000000-0001-0000-0000-000000000000}">
    <filterColumn colId="0">
      <filters>
        <filter val="Βαρυ Όργανο"/>
      </filters>
    </filterColumn>
  </autoFilter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F518-E9E4-AA44-9E47-B4655337A346}">
  <dimension ref="A1:K5"/>
  <sheetViews>
    <sheetView workbookViewId="0">
      <selection activeCell="A5" sqref="A5"/>
    </sheetView>
  </sheetViews>
  <sheetFormatPr baseColWidth="10" defaultRowHeight="15" x14ac:dyDescent="0.2"/>
  <sheetData>
    <row r="1" spans="1:11" s="1" customFormat="1" ht="15" customHeight="1" x14ac:dyDescent="0.2">
      <c r="A1" s="2" t="s">
        <v>105</v>
      </c>
      <c r="B1" s="7" t="s">
        <v>107</v>
      </c>
      <c r="C1" s="3" t="s">
        <v>106</v>
      </c>
      <c r="D1" s="3" t="s">
        <v>113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8</v>
      </c>
      <c r="J1" s="3" t="s">
        <v>7</v>
      </c>
      <c r="K1" s="3" t="s">
        <v>103</v>
      </c>
    </row>
    <row r="2" spans="1:11" x14ac:dyDescent="0.2">
      <c r="A2" s="9" t="s">
        <v>11</v>
      </c>
      <c r="B2" s="10">
        <v>1</v>
      </c>
      <c r="C2" s="11" t="s">
        <v>30</v>
      </c>
      <c r="D2" s="11" t="str">
        <f t="shared" ref="D2:D5" si="0">CONCATENATE(C2,"-",A2)</f>
        <v>Μήκος-Μ55</v>
      </c>
      <c r="E2" s="12">
        <v>5.39</v>
      </c>
      <c r="F2" s="9" t="s">
        <v>115</v>
      </c>
      <c r="G2" s="13" t="s">
        <v>116</v>
      </c>
      <c r="H2" s="13" t="s">
        <v>117</v>
      </c>
      <c r="I2" s="9" t="s">
        <v>118</v>
      </c>
      <c r="J2" s="9" t="s">
        <v>69</v>
      </c>
      <c r="K2" s="9">
        <v>2025</v>
      </c>
    </row>
    <row r="3" spans="1:11" x14ac:dyDescent="0.2">
      <c r="A3" s="1" t="s">
        <v>11</v>
      </c>
      <c r="B3" s="8">
        <v>1</v>
      </c>
      <c r="C3" s="6">
        <v>60</v>
      </c>
      <c r="D3" s="6" t="str">
        <f t="shared" si="0"/>
        <v>60-Μ55</v>
      </c>
      <c r="E3" s="4">
        <v>8.6805555555555559E-5</v>
      </c>
      <c r="F3" s="1" t="s">
        <v>5</v>
      </c>
      <c r="G3" s="5" t="s">
        <v>6</v>
      </c>
      <c r="H3" s="5" t="s">
        <v>101</v>
      </c>
      <c r="I3" s="1" t="s">
        <v>10</v>
      </c>
      <c r="J3" s="1" t="s">
        <v>23</v>
      </c>
      <c r="K3" s="1"/>
    </row>
    <row r="4" spans="1:11" x14ac:dyDescent="0.2">
      <c r="A4" s="1" t="s">
        <v>14</v>
      </c>
      <c r="B4" s="8">
        <v>2</v>
      </c>
      <c r="C4" s="6">
        <v>60</v>
      </c>
      <c r="D4" s="6" t="str">
        <f t="shared" si="0"/>
        <v>60-Μ70</v>
      </c>
      <c r="E4" s="4">
        <v>1.0324074074074074E-4</v>
      </c>
      <c r="F4" s="1" t="s">
        <v>15</v>
      </c>
      <c r="G4" s="5" t="s">
        <v>16</v>
      </c>
      <c r="H4" s="5" t="s">
        <v>84</v>
      </c>
      <c r="I4" s="1" t="s">
        <v>10</v>
      </c>
      <c r="J4" s="1" t="s">
        <v>9</v>
      </c>
    </row>
    <row r="5" spans="1:11" x14ac:dyDescent="0.2">
      <c r="A5" s="1" t="s">
        <v>54</v>
      </c>
      <c r="B5" s="8">
        <v>1</v>
      </c>
      <c r="C5" s="6">
        <v>200</v>
      </c>
      <c r="D5" s="6" t="str">
        <f t="shared" si="0"/>
        <v>200-W55</v>
      </c>
      <c r="E5" s="15" t="s">
        <v>104</v>
      </c>
      <c r="F5" s="1" t="s">
        <v>29</v>
      </c>
      <c r="G5" s="5" t="s">
        <v>57</v>
      </c>
      <c r="H5" s="5" t="s">
        <v>96</v>
      </c>
      <c r="I5" s="1" t="s">
        <v>94</v>
      </c>
      <c r="J5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baseColWidth="10" defaultColWidth="10.83203125" defaultRowHeight="15" x14ac:dyDescent="0.2"/>
  <sheetData>
    <row r="1" spans="1:2" x14ac:dyDescent="0.2">
      <c r="A1" t="s">
        <v>114</v>
      </c>
      <c r="B1" t="s">
        <v>109</v>
      </c>
    </row>
    <row r="2" spans="1:2" x14ac:dyDescent="0.2">
      <c r="A2" t="s">
        <v>110</v>
      </c>
      <c r="B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 Records</vt:lpstr>
      <vt:lpstr>Καταρίψεις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2006-10-17T10:06:23Z</dcterms:created>
  <dcterms:modified xsi:type="dcterms:W3CDTF">2026-02-21T14:13:09Z</dcterms:modified>
</cp:coreProperties>
</file>